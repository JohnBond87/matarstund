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40" documentId="8_{9058C769-37DB-4D75-B77A-5C1D47EA4B73}" xr6:coauthVersionLast="47" xr6:coauthVersionMax="47" xr10:uidLastSave="{10972E73-D6BF-4F84-A37A-A068163878A4}"/>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3" i="1" l="1"/>
  <c r="J283"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8" i="3"/>
  <c r="J221" i="3"/>
  <c r="M221" i="3"/>
  <c r="N221" i="3"/>
  <c r="O221" i="3"/>
  <c r="P221" i="3"/>
  <c r="Q221" i="3"/>
  <c r="R221" i="3"/>
  <c r="S221"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60" i="3"/>
  <c r="J261" i="3"/>
  <c r="M261" i="3"/>
  <c r="N261" i="3"/>
  <c r="O261" i="3"/>
  <c r="P261" i="3"/>
  <c r="Q261" i="3"/>
  <c r="R261" i="3"/>
  <c r="S261"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3" i="3"/>
  <c r="M73" i="3"/>
  <c r="N73" i="3"/>
  <c r="O73" i="3"/>
  <c r="P73" i="3"/>
  <c r="Q73" i="3"/>
  <c r="R73" i="3"/>
  <c r="S73" i="3"/>
  <c r="J74" i="3"/>
  <c r="J75" i="3"/>
  <c r="J77" i="3"/>
  <c r="J78" i="3"/>
  <c r="J79" i="3"/>
  <c r="M79" i="3"/>
  <c r="N79" i="3"/>
  <c r="O79" i="3"/>
  <c r="P79" i="3"/>
  <c r="Q79" i="3"/>
  <c r="R79" i="3"/>
  <c r="S79" i="3"/>
  <c r="J81" i="3"/>
  <c r="J82" i="3"/>
  <c r="M82" i="3"/>
  <c r="N82" i="3"/>
  <c r="O82" i="3"/>
  <c r="P82" i="3"/>
  <c r="Q82" i="3"/>
  <c r="R82" i="3"/>
  <c r="S82" i="3"/>
  <c r="J83" i="3"/>
  <c r="M83" i="3"/>
  <c r="N83" i="3"/>
  <c r="O83" i="3"/>
  <c r="P83" i="3"/>
  <c r="Q83" i="3"/>
  <c r="R83" i="3"/>
  <c r="S83" i="3"/>
  <c r="J84" i="3"/>
  <c r="J85" i="3"/>
  <c r="J88" i="3"/>
  <c r="M88" i="3"/>
  <c r="N88" i="3"/>
  <c r="O88" i="3"/>
  <c r="P88" i="3"/>
  <c r="Q88" i="3"/>
  <c r="R88" i="3"/>
  <c r="S88"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5" i="3"/>
  <c r="K115" i="3"/>
  <c r="L115" i="3"/>
  <c r="M115" i="3"/>
  <c r="N115" i="3"/>
  <c r="O115" i="3"/>
  <c r="P115" i="3"/>
  <c r="Q115" i="3"/>
  <c r="R115" i="3"/>
  <c r="S115" i="3"/>
  <c r="J116" i="3"/>
  <c r="J117" i="3"/>
  <c r="J118" i="3"/>
  <c r="J119" i="3"/>
  <c r="M119" i="3"/>
  <c r="N119" i="3"/>
  <c r="O119" i="3"/>
  <c r="P119" i="3"/>
  <c r="Q119" i="3"/>
  <c r="R119" i="3"/>
  <c r="S119" i="3"/>
  <c r="J121"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71" i="3" l="1"/>
  <c r="J72" i="3"/>
  <c r="J86" i="3"/>
  <c r="J87" i="3"/>
  <c r="J113" i="3"/>
  <c r="J114" i="3"/>
  <c r="J52" i="3"/>
  <c r="J51" i="3"/>
  <c r="J27" i="3"/>
  <c r="J26" i="3"/>
  <c r="J158" i="3"/>
  <c r="J159" i="3"/>
  <c r="J199" i="3"/>
  <c r="J20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U505" i="2"/>
  <c r="U18" i="2"/>
  <c r="U34" i="2"/>
  <c r="J89" i="3" s="1"/>
  <c r="U48" i="2"/>
  <c r="J163" i="3" s="1"/>
  <c r="U60" i="2"/>
  <c r="U74" i="2"/>
  <c r="U87" i="2"/>
  <c r="U97" i="2"/>
  <c r="U111" i="2"/>
  <c r="U139" i="2"/>
  <c r="U155" i="2"/>
  <c r="U165" i="2"/>
  <c r="J162" i="3" s="1"/>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22" i="3" l="1"/>
  <c r="J120" i="3"/>
  <c r="J182" i="3"/>
  <c r="J80" i="3"/>
  <c r="J99" i="3"/>
  <c r="J98" i="3"/>
  <c r="J138" i="3"/>
  <c r="J282" i="3"/>
  <c r="J176" i="3"/>
  <c r="J177" i="3"/>
  <c r="J219" i="3"/>
  <c r="J220" i="3"/>
  <c r="J238" i="3"/>
  <c r="J239" i="3"/>
  <c r="J256" i="3"/>
  <c r="J257" i="3"/>
  <c r="J273" i="3"/>
  <c r="J272" i="3"/>
  <c r="J289" i="3"/>
  <c r="J29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<sst xmlns="http://schemas.openxmlformats.org/spreadsheetml/2006/main" count="94262" uniqueCount="4408">
  <si>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</si>
  <si>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</si>
  <si>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</si>
  <si>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</si>
  <si>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</si>
  <si>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</si>
  <si>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</si>
  <si>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</si>
  <si>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</si>
  <si>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</si>
  <si>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</si>
  <si>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</si>
  <si>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</si>
  <si>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</si>
  <si>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</si>
  <si>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</si>
  <si>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</si>
  <si>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</si>
  <si>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</si>
  <si>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</si>
  <si>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</si>
  <si>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</si>
  <si>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</si>
  <si>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</si>
  <si>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</si>
  <si>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</si>
  <si>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</si>
  <si>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</si>
  <si>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</si>
  <si>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</si>
  <si>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</si>
  <si>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</si>
  <si>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</si>
  <si>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</si>
  <si>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</si>
  <si>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</si>
  <si>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</si>
  <si>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</si>
  <si>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</si>
  <si>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</si>
  <si>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</si>
  <si>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</si>
  <si>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</si>
  <si>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</si>
  <si>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</si>
  <si>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</si>
  <si>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</si>
  <si>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</si>
  <si>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</si>
  <si>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</si>
  <si>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</si>
  <si>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</si>
  <si>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</si>
  <si>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</si>
  <si>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</si>
  <si>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</si>
  <si>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</si>
  <si>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</si>
  <si>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</si>
  <si>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</si>
  <si>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</si>
  <si>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</si>
  <si>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</si>
  <si>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</si>
  <si>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</si>
  <si>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</si>
  <si>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</si>
  <si>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</si>
  <si>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</si>
  <si>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</si>
  <si>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</si>
  <si>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</si>
  <si>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</si>
  <si>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</si>
  <si>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</si>
  <si>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</si>
  <si>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</si>
  <si>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</si>
  <si>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</si>
  <si>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</si>
  <si>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</si>
  <si>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</si>
  <si>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</si>
  <si>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</si>
  <si>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</si>
  <si>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</si>
  <si>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</si>
  <si>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</si>
  <si>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</si>
  <si>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</si>
  <si>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</si>
  <si>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</si>
  <si>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</si>
  <si>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</si>
  <si>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</si>
  <si>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</si>
  <si>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</si>
  <si>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</si>
  <si>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</si>
  <si>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</si>
  <si>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</si>
  <si>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</si>
  <si>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</si>
  <si>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</si>
  <si>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</si>
  <si>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</si>
  <si>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</si>
  <si>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</si>
  <si>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</si>
  <si>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</si>
  <si>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</si>
  <si>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</si>
  <si>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</si>
  <si>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</si>
  <si>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</si>
  <si>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</si>
  <si>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</si>
  <si>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</si>
  <si>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</si>
  <si>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</si>
  <si>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</si>
  <si>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</si>
  <si>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</si>
  <si>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</si>
  <si>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</si>
  <si>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</si>
  <si>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</si>
  <si>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</si>
  <si>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</si>
  <si>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</si>
  <si>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</si>
  <si>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</si>
  <si>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</si>
  <si>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</si>
  <si>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</si>
  <si>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</si>
  <si>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</si>
  <si>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</si>
  <si>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</si>
  <si>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</si>
  <si>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</si>
  <si>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</si>
  <si>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</si>
  <si>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</si>
  <si>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</si>
  <si>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</si>
  <si>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</si>
  <si>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</si>
  <si>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</si>
  <si>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</si>
  <si>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</si>
  <si>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</si>
  <si>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</si>
  <si>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</si>
  <si>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</si>
  <si>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</si>
  <si>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</si>
  <si>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</si>
  <si>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</si>
  <si>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</si>
  <si>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</si>
  <si>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</si>
  <si>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</si>
  <si>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</si>
  <si>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</si>
  <si>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</si>
  <si>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</si>
  <si>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</si>
  <si>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</si>
  <si>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</si>
  <si>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</si>
  <si>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</si>
  <si>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</si>
  <si>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</si>
  <si>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</si>
  <si>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</si>
  <si>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</si>
  <si>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</si>
  <si>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</si>
  <si>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</si>
  <si>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</si>
  <si>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</si>
  <si>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</si>
  <si>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</si>
  <si>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</si>
  <si>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</si>
  <si>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</si>
  <si>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</si>
  <si>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</si>
  <si>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</si>
  <si>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</si>
  <si>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</si>
  <si>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</si>
  <si>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</si>
  <si>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</si>
  <si>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</si>
  <si>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</si>
  <si>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</si>
  <si>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</si>
  <si>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</si>
  <si>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</si>
  <si>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</si>
  <si>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</si>
  <si>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</si>
  <si>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</si>
  <si>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</si>
  <si>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</si>
  <si>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</si>
  <si>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</si>
  <si>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</si>
  <si>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</si>
  <si>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</si>
  <si>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</si>
  <si>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</si>
  <si>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</si>
  <si>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</si>
  <si>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</si>
  <si>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</si>
  <si>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</si>
  <si>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</si>
  <si>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</si>
  <si>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</si>
  <si>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</si>
  <si>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</si>
  <si>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</si>
  <si>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</si>
  <si>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</si>
  <si>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</si>
  <si>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</si>
  <si>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</si>
  <si>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</si>
  <si>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</si>
  <si>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</si>
  <si>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</si>
  <si>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</si>
  <si>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</si>
  <si>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</si>
  <si>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</si>
  <si>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</si>
  <si>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</si>
  <si>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</si>
  <si>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</si>
  <si>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</si>
  <si>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</si>
  <si>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</si>
  <si>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</si>
  <si>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</si>
  <si>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</si>
  <si>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</si>
  <si>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</si>
  <si>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</si>
  <si>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</si>
  <si>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</si>
  <si>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</si>
  <si>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</si>
  <si>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</si>
  <si>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</si>
  <si>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</si>
  <si>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</si>
  <si>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</si>
  <si>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</si>
  <si>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</si>
  <si>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</si>
  <si>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</si>
  <si>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</si>
  <si>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</si>
  <si>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</si>
  <si>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</si>
  <si>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</si>
  <si>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</si>
  <si>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</si>
  <si>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</si>
  <si>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</si>
  <si>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</si>
  <si>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</si>
  <si>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</si>
  <si>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</si>
  <si>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</si>
  <si>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</si>
  <si>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</si>
  <si>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</si>
  <si>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</si>
  <si>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</si>
  <si>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</si>
  <si>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</si>
  <si>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</si>
  <si>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</si>
  <si>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</si>
  <si>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</si>
  <si>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</si>
  <si>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</si>
  <si>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</si>
  <si>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</si>
  <si>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</si>
  <si>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</si>
  <si>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</si>
  <si>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</si>
  <si>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</si>
  <si>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</si>
  <si>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</si>
  <si>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</si>
  <si>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</si>
  <si>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</si>
  <si>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</si>
  <si>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</si>
  <si>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</si>
  <si>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</si>
  <si>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</si>
  <si>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</si>
  <si>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</si>
  <si>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</si>
  <si>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</si>
  <si>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</si>
  <si>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</si>
  <si>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</si>
  <si>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</si>
  <si>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</si>
  <si>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</si>
  <si>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</si>
  <si>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</si>
  <si>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</si>
  <si>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</si>
  <si>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</si>
  <si>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</si>
  <si>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</si>
  <si>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</si>
  <si>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</si>
  <si>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</si>
  <si>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</si>
  <si>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</si>
  <si>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</si>
  <si>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</si>
  <si>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</si>
  <si>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</si>
  <si>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</si>
  <si>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</si>
  <si>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</si>
  <si>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</si>
  <si>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</si>
  <si>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</si>
  <si>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</si>
  <si>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</si>
  <si>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</si>
  <si>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</si>
  <si>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</si>
  <si>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</si>
  <si>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</si>
  <si>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</si>
  <si>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</si>
  <si>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</si>
  <si>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</si>
  <si>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</si>
  <si>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</si>
  <si>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</si>
  <si>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</si>
  <si>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</si>
  <si>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</si>
  <si>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</si>
  <si>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</si>
  <si>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</si>
  <si>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</si>
  <si>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</si>
  <si>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</si>
  <si>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</si>
  <si>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</si>
  <si>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</si>
  <si>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</si>
  <si>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</si>
  <si>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</si>
  <si>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</si>
  <si>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</si>
  <si>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</si>
  <si>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</si>
  <si>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</si>
  <si>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</si>
  <si>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</si>
  <si>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</si>
  <si>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</si>
  <si>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</si>
  <si>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</si>
  <si>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</si>
  <si>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</si>
  <si>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</si>
  <si>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</si>
  <si>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</si>
  <si>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</si>
  <si>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</si>
  <si>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</si>
  <si>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</si>
  <si>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</si>
  <si>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</si>
  <si>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</si>
  <si>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</si>
  <si>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</si>
  <si>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</si>
  <si>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</si>
  <si>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</si>
  <si>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</si>
  <si>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</si>
  <si>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</si>
  <si>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</si>
  <si>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</si>
  <si>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</si>
  <si>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</si>
  <si>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</si>
  <si>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</si>
  <si>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</si>
  <si>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</si>
  <si>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</si>
  <si>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</si>
  <si>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</si>
  <si>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</si>
  <si>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</si>
  <si>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</si>
  <si>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</si>
  <si>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</si>
  <si>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</si>
  <si>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</si>
  <si>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</si>
  <si>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</si>
  <si>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</si>
  <si>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</si>
  <si>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</si>
  <si>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</si>
  <si>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</si>
  <si>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</si>
  <si>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</si>
  <si>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</si>
  <si>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</si>
  <si>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</si>
  <si>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</si>
  <si>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</si>
  <si>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</si>
  <si>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</si>
  <si>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</si>
  <si>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</si>
  <si>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</si>
  <si>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</si>
  <si>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</si>
  <si>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</si>
  <si>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</si>
  <si>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</si>
  <si>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</si>
  <si>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</si>
  <si>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</si>
  <si>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</si>
  <si>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</si>
  <si>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</si>
  <si>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</si>
  <si>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</si>
  <si>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</si>
  <si>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</si>
  <si>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</si>
  <si>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</si>
  <si>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</si>
  <si>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</si>
  <si>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</si>
  <si>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</si>
  <si>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</si>
  <si>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</si>
  <si>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</si>
  <si>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</si>
  <si>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</si>
  <si>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</si>
  <si>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</si>
  <si>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</si>
  <si>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</si>
  <si>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</si>
  <si>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</si>
  <si>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</si>
  <si>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</si>
  <si>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</si>
  <si>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</si>
  <si>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</si>
  <si>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</si>
  <si>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</si>
  <si>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</si>
  <si>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</si>
  <si>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</si>
  <si>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</si>
  <si>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</si>
  <si>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</si>
  <si>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</si>
  <si>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</si>
  <si>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</si>
  <si>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</si>
  <si>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</si>
  <si>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</si>
  <si>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</si>
  <si>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</si>
  <si>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</si>
  <si>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</si>
  <si>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</si>
  <si>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</si>
  <si>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</si>
  <si>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</si>
  <si>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</si>
  <si>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</si>
  <si>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</si>
  <si>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</si>
  <si>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</si>
  <si>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</si>
  <si>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</si>
  <si>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</si>
  <si>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</si>
  <si>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</si>
  <si>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</si>
  <si>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</si>
  <si>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</si>
  <si>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</si>
  <si>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</si>
  <si>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</si>
  <si>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</si>
  <si>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</si>
  <si>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</si>
  <si>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</si>
  <si>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</si>
  <si>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</si>
  <si>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</si>
  <si>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</si>
  <si>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</si>
  <si>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</si>
  <si>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</si>
  <si>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</si>
  <si>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</si>
  <si>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</si>
  <si>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</si>
  <si>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</si>
  <si>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</si>
  <si>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</si>
  <si>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</si>
  <si>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</si>
  <si>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</si>
  <si>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</si>
  <si>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</si>
  <si>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</si>
  <si>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</si>
  <si>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</si>
  <si>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</si>
  <si>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</si>
  <si>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</si>
  <si>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</si>
  <si>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</si>
  <si>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</si>
  <si>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</si>
  <si>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</si>
  <si>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</si>
  <si>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</si>
  <si>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</si>
  <si>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</si>
  <si>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</si>
  <si>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</si>
  <si>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</si>
  <si>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</si>
  <si>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</si>
  <si>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</si>
  <si>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</si>
  <si>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</si>
  <si>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</si>
  <si>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</si>
  <si>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</si>
  <si>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</si>
  <si>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</si>
  <si>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</si>
  <si>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</si>
  <si>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</si>
  <si>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</si>
  <si>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</si>
  <si>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</si>
  <si>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</si>
  <si>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</si>
  <si>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</si>
  <si>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</si>
  <si>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</si>
  <si>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</si>
  <si>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</si>
  <si>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</si>
  <si>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</si>
  <si>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</si>
  <si>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</si>
  <si>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</si>
  <si>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</si>
  <si>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</si>
  <si>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</si>
  <si>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</si>
  <si>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</si>
  <si>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</si>
  <si>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</si>
  <si>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</si>
  <si>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</si>
  <si>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</si>
  <si>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</si>
  <si>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</si>
  <si>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</si>
  <si>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</si>
  <si>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</si>
  <si>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</si>
  <si>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</si>
  <si>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</si>
  <si>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</si>
  <si>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</si>
  <si>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</si>
  <si>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</si>
  <si>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</si>
  <si>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</si>
  <si>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</si>
  <si>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</si>
  <si>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</si>
  <si>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</si>
  <si>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</si>
  <si>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</si>
  <si>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</si>
  <si>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</si>
  <si>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</si>
  <si>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</si>
  <si>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</si>
  <si>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</si>
  <si>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</si>
  <si>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</si>
  <si>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</si>
  <si>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</si>
  <si>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</si>
  <si>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</si>
  <si>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</si>
  <si>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</si>
  <si>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</si>
  <si>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</si>
  <si>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</si>
  <si>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</si>
  <si>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</si>
  <si>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</si>
  <si>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</si>
  <si>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</si>
  <si>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</si>
  <si>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</si>
  <si>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</si>
  <si>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</si>
  <si>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</si>
  <si>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</si>
  <si>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</si>
  <si>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</si>
  <si>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</si>
  <si>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</si>
  <si>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</si>
  <si>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</si>
  <si>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</si>
  <si>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</si>
  <si>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</si>
  <si>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</si>
  <si>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</si>
  <si>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</si>
  <si>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</si>
  <si>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</si>
  <si>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</si>
  <si>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</si>
  <si>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</si>
  <si>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</si>
  <si>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</si>
  <si>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</si>
  <si>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</si>
  <si>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</si>
  <si>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</si>
  <si>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</si>
  <si>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</si>
  <si>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</si>
  <si>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</si>
  <si>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</si>
  <si>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</si>
  <si>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</si>
  <si>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</si>
  <si>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</si>
  <si>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</si>
  <si>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</si>
  <si>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</si>
  <si>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</si>
  <si>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</si>
  <si>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</si>
  <si>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</si>
  <si>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</si>
  <si>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</si>
  <si>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</si>
  <si>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</si>
  <si>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</si>
  <si>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</si>
  <si>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</si>
  <si>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</si>
  <si>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</si>
  <si>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</si>
  <si>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</si>
  <si>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</si>
  <si>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</si>
  <si>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</si>
  <si>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</si>
  <si>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</si>
  <si>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</si>
  <si>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</si>
  <si>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</si>
  <si>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</si>
  <si>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</si>
  <si>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</si>
  <si>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</si>
  <si>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</si>
  <si>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</si>
  <si>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</si>
  <si>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</si>
  <si>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</si>
  <si>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</si>
  <si>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</si>
  <si>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</si>
  <si>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</si>
  <si>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</si>
  <si>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</si>
  <si>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</si>
  <si>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</si>
  <si>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</si>
  <si>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</si>
  <si>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</si>
  <si>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</si>
  <si>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</si>
  <si>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</si>
  <si>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</si>
  <si>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</si>
  <si>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</si>
  <si>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</si>
  <si>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</si>
  <si>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</si>
  <si>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</si>
  <si>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</si>
  <si>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</si>
  <si>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</si>
  <si>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</si>
  <si>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</si>
  <si>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</si>
  <si>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</si>
  <si>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</si>
  <si>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</si>
  <si>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</si>
  <si>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</si>
  <si>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</si>
  <si>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</si>
  <si>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</si>
  <si>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</si>
  <si>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</si>
  <si>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</si>
  <si>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</si>
  <si>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</si>
  <si>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</si>
  <si>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</si>
  <si>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</si>
  <si>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</si>
  <si>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</si>
  <si>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</si>
  <si>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</si>
  <si>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</si>
  <si>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</si>
  <si>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</si>
  <si>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</si>
  <si>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</si>
  <si>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</si>
  <si>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</si>
  <si>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</si>
  <si>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</si>
  <si>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</si>
  <si>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</si>
  <si>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</si>
  <si>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</si>
  <si>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</si>
  <si>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</si>
  <si>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</si>
  <si>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</si>
  <si>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</si>
  <si>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</si>
  <si>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</si>
  <si>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</si>
  <si>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</si>
  <si>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</si>
  <si>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</si>
  <si>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</si>
  <si>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</si>
  <si>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</si>
  <si>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</si>
  <si>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</si>
  <si>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</si>
  <si>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</si>
  <si>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</si>
  <si>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</si>
  <si>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</si>
  <si>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</si>
  <si>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</si>
  <si>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</si>
  <si>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</si>
  <si>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</si>
  <si>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</si>
  <si>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</si>
  <si>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</si>
  <si>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</si>
  <si>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</si>
  <si>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</si>
  <si>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</si>
  <si>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</si>
  <si>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</si>
  <si>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</si>
  <si>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</si>
  <si>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</si>
  <si>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</si>
  <si>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</si>
  <si>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</si>
  <si>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</si>
  <si>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</si>
  <si>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</si>
  <si>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</si>
  <si>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</si>
  <si>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</si>
  <si>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</si>
  <si>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</si>
  <si>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</si>
  <si>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</si>
  <si>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</si>
  <si>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</si>
  <si>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</si>
  <si>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</si>
  <si>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</si>
  <si>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</si>
  <si>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</si>
  <si>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</si>
  <si>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</si>
  <si>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</si>
  <si>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</si>
  <si>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</si>
  <si>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</si>
  <si>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</si>
  <si>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</si>
  <si>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</si>
  <si>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</si>
  <si>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</si>
  <si>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</si>
  <si>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</si>
  <si>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</si>
  <si>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</si>
  <si>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</si>
  <si>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</si>
  <si>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</si>
  <si>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</si>
  <si>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</si>
  <si>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</si>
  <si>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</si>
  <si>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</si>
  <si>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</si>
  <si>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</si>
  <si>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</si>
  <si>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</si>
  <si>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</si>
  <si>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</si>
  <si>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</si>
  <si>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</si>
  <si>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</si>
  <si>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</si>
  <si>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</si>
  <si>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</si>
  <si>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</si>
  <si>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</si>
  <si>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</si>
  <si>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</si>
  <si>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</si>
  <si>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</si>
  <si>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</si>
  <si>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</si>
  <si>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</si>
  <si>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</si>
  <si>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</si>
  <si>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</si>
  <si>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</si>
  <si>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</si>
  <si>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</si>
  <si>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</si>
  <si>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</si>
  <si>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</si>
  <si>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</si>
  <si>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</si>
  <si>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</si>
  <si>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</si>
  <si>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</si>
  <si>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</si>
  <si>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</si>
  <si>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</si>
  <si>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</si>
  <si>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</si>
  <si>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</si>
  <si>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</si>
  <si>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</si>
  <si>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</si>
  <si>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</si>
  <si>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</si>
  <si>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</si>
  <si>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</si>
  <si>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</si>
  <si>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</si>
  <si>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</si>
  <si>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</si>
  <si>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</si>
  <si>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</si>
  <si>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</si>
  <si>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</si>
  <si>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</si>
  <si>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</si>
  <si>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</si>
  <si>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</si>
  <si>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</si>
  <si>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</si>
  <si>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</si>
  <si>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</si>
  <si>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</si>
  <si>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</si>
  <si>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</si>
  <si>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</si>
  <si>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</si>
  <si>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</si>
  <si>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</si>
  <si>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</si>
  <si>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</si>
  <si>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</si>
  <si>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</si>
  <si>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</si>
  <si>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</si>
  <si>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</si>
  <si>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</si>
  <si>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</si>
  <si>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</si>
  <si>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</si>
  <si>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</si>
  <si>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</si>
  <si>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</si>
  <si>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</si>
  <si>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</si>
  <si>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</si>
  <si>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</si>
  <si>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</si>
  <si>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</si>
  <si>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</si>
  <si>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</si>
  <si>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</si>
  <si>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</si>
  <si>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</si>
  <si>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</si>
  <si>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</si>
  <si>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</si>
  <si>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</si>
  <si>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</si>
  <si>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</si>
  <si>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</si>
  <si>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</si>
  <si>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</si>
  <si>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</si>
  <si>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</si>
  <si>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</si>
  <si>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</si>
  <si>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</si>
  <si>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</si>
  <si>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</si>
  <si>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</si>
  <si>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</si>
  <si>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</si>
  <si>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</si>
  <si>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</si>
  <si>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</si>
  <si>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</si>
  <si>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</si>
  <si>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</si>
  <si>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</si>
  <si>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</si>
  <si>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</si>
  <si>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</si>
  <si>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</si>
  <si>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</si>
  <si>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</si>
  <si>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</si>
  <si>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</si>
  <si>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</si>
  <si>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</si>
  <si>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</si>
  <si>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</si>
  <si>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</si>
  <si>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</si>
  <si>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</si>
  <si>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</si>
  <si>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</si>
  <si>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</si>
  <si>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</si>
  <si>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</si>
  <si>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</si>
  <si>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</si>
  <si>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</si>
  <si>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</si>
  <si>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</si>
  <si>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</si>
  <si>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</si>
  <si>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</si>
  <si>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</si>
  <si>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</si>
  <si>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</si>
  <si>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</si>
  <si>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</si>
  <si>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</si>
  <si>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</si>
  <si>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</si>
  <si>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</si>
  <si>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</si>
  <si>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</si>
  <si>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</si>
  <si>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</si>
  <si>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</si>
  <si>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</si>
  <si>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</si>
  <si>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</si>
  <si>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</si>
  <si>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</si>
  <si>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</si>
  <si>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</si>
  <si>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</si>
  <si>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</si>
  <si>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</si>
  <si>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</si>
  <si>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</si>
  <si>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</si>
  <si>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</si>
  <si>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</si>
  <si>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</si>
  <si>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</si>
  <si>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</si>
  <si>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</si>
  <si>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</si>
  <si>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</si>
  <si>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</si>
  <si>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</si>
  <si>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</si>
  <si>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</si>
  <si>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</si>
  <si>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</si>
  <si>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</si>
  <si>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</si>
  <si>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</si>
  <si>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</si>
  <si>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</si>
  <si>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</si>
  <si>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</si>
  <si>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</si>
  <si>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</si>
  <si>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</si>
  <si>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</si>
  <si>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</si>
  <si>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</si>
  <si>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</si>
  <si>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</si>
  <si>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</si>
  <si>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</si>
  <si>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</si>
  <si>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</si>
  <si>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</si>
  <si>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</si>
  <si>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</si>
  <si>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</si>
  <si>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</si>
  <si>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</si>
  <si>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</si>
  <si>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</si>
  <si>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</si>
  <si>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</si>
  <si>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</si>
  <si>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</si>
  <si>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</si>
  <si>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</si>
  <si>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</si>
  <si>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</si>
  <si>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</si>
  <si>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</si>
  <si>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</si>
  <si>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</si>
  <si>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</si>
  <si>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</si>
  <si>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</si>
  <si>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</si>
  <si>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</si>
  <si>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</si>
  <si>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</si>
  <si>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</si>
  <si>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</si>
  <si>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</si>
  <si>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</si>
  <si>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</si>
  <si>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</si>
  <si>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</si>
  <si>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</si>
  <si>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</si>
  <si>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</si>
  <si>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</si>
  <si>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</si>
  <si>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</si>
  <si>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</si>
  <si>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</si>
  <si>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</si>
  <si>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</si>
  <si>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</si>
  <si>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</si>
  <si>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</si>
  <si>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</si>
  <si>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</si>
  <si>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</si>
  <si>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</si>
  <si>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</si>
  <si>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</si>
  <si>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</si>
  <si>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</si>
  <si>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</si>
  <si>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</si>
  <si>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</si>
  <si>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</si>
  <si>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</si>
  <si>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</si>
  <si>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</si>
  <si>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</si>
  <si>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</si>
  <si>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</si>
  <si>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</si>
  <si>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</si>
  <si>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</si>
  <si>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</si>
  <si>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</si>
  <si>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</si>
  <si>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</si>
  <si>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</si>
  <si>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</si>
  <si>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</si>
  <si>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</si>
  <si>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</si>
  <si>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</si>
  <si>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</si>
  <si>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</si>
  <si>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</si>
  <si>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</si>
  <si>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</si>
  <si>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</si>
  <si>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</si>
  <si>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</si>
  <si>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</si>
  <si>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</si>
  <si>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</si>
  <si>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</si>
  <si>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</si>
  <si>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</si>
  <si>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</si>
  <si>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</si>
  <si>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</si>
  <si>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</si>
  <si>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</si>
  <si>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</si>
  <si>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</si>
  <si>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</si>
  <si>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</si>
  <si>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</si>
  <si>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</si>
  <si>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</si>
  <si>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</si>
  <si>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</si>
  <si>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</si>
  <si>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</si>
  <si>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</si>
  <si>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</si>
  <si>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</si>
  <si>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</si>
  <si>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</si>
  <si>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</si>
  <si>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</si>
  <si>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</si>
  <si>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</si>
  <si>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</si>
  <si>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</si>
  <si>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</si>
  <si>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</si>
  <si>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</si>
  <si>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</si>
  <si>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</si>
  <si>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</si>
  <si>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</si>
  <si>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</si>
  <si>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</si>
  <si>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</si>
  <si>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</si>
  <si>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</si>
  <si>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</si>
  <si>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</si>
  <si>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</si>
  <si>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</si>
  <si>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</si>
  <si>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</si>
  <si>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</si>
  <si>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</si>
  <si>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</si>
  <si>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</si>
  <si>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</si>
  <si>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</si>
  <si>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</si>
  <si>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</si>
  <si>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</si>
  <si>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</si>
  <si>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</si>
  <si>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</si>
  <si>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</si>
  <si>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</si>
  <si>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</si>
  <si>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</si>
  <si>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</si>
  <si>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</si>
  <si>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</si>
  <si>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</si>
  <si>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</si>
  <si>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</si>
  <si>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</si>
  <si>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</si>
  <si>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</si>
  <si>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</si>
  <si>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</si>
  <si>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</si>
  <si>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</si>
  <si>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</si>
  <si>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</si>
  <si>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</si>
  <si>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</si>
  <si>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</si>
  <si>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</si>
  <si>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</si>
  <si>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</si>
  <si>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</si>
  <si>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</si>
  <si>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</si>
  <si>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</si>
  <si>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</si>
  <si>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</si>
  <si>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</si>
  <si>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</si>
  <si>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</si>
  <si>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</si>
  <si>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</si>
  <si>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</si>
  <si>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</si>
  <si>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</si>
  <si>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</si>
  <si>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</si>
  <si>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</si>
  <si>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</si>
  <si>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</si>
  <si>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</si>
  <si>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</si>
  <si>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</si>
  <si>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</si>
  <si>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</si>
  <si>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</si>
  <si>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</si>
  <si>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</si>
  <si>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</si>
  <si>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</si>
  <si>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</si>
  <si>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</si>
  <si>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</si>
  <si>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</si>
  <si>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</si>
  <si>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</si>
  <si>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</si>
  <si>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</si>
  <si>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</si>
  <si>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</si>
  <si>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</si>
  <si>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</si>
  <si>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</si>
  <si>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</si>
  <si>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</si>
  <si>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</si>
  <si>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</si>
  <si>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</si>
  <si>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</si>
  <si>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</si>
  <si>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</si>
  <si>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</si>
  <si>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</si>
  <si>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</si>
  <si>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</si>
  <si>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</si>
  <si>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</si>
  <si>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</si>
  <si>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</si>
  <si>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</si>
  <si>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</si>
  <si>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</si>
  <si>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</si>
  <si>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</si>
  <si>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</si>
  <si>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</si>
  <si>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</si>
  <si>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</si>
  <si>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</si>
  <si>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</si>
  <si>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</si>
  <si>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</si>
  <si>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</si>
  <si>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</si>
  <si>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</si>
  <si>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</si>
  <si>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</si>
  <si>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</si>
  <si>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</si>
  <si>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</si>
  <si>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</si>
  <si>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</si>
  <si>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</si>
  <si>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</si>
  <si>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</si>
  <si>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</si>
  <si>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</si>
  <si>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</si>
  <si>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</si>
  <si>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</si>
  <si>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</si>
  <si>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</si>
  <si>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</si>
  <si>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</si>
  <si>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</si>
  <si>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</si>
  <si>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</si>
  <si>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</si>
  <si>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</si>
  <si>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</si>
  <si>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</si>
  <si>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</si>
  <si>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</si>
  <si>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</si>
  <si>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</si>
  <si>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</si>
  <si>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</si>
  <si>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</si>
  <si>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</si>
  <si>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</si>
  <si>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</si>
  <si>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</si>
  <si>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</si>
  <si>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</si>
  <si>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</si>
  <si>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</si>
  <si>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</si>
  <si>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</si>
  <si>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</si>
  <si>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</si>
  <si>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</si>
  <si>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</si>
  <si>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</si>
  <si>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</si>
  <si>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</si>
  <si>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</si>
  <si>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</si>
  <si>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</si>
  <si>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</si>
  <si>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</si>
  <si>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</si>
  <si>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</si>
  <si>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</si>
  <si>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</si>
  <si>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</si>
  <si>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</si>
  <si>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</si>
  <si>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</si>
  <si>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</si>
  <si>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</si>
  <si>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</si>
  <si>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</si>
  <si>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</si>
  <si>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</si>
  <si>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</si>
  <si>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</si>
  <si>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</si>
  <si>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</si>
  <si>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</si>
  <si>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</si>
  <si>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</si>
  <si>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</si>
  <si>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</si>
  <si>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</si>
  <si>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</si>
  <si>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</si>
  <si>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</si>
  <si>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</si>
  <si>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</si>
  <si>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</si>
  <si>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</si>
  <si>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</si>
  <si>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</si>
  <si>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</si>
  <si>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</si>
  <si>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</si>
  <si>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</si>
  <si>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</si>
  <si>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</si>
  <si>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</si>
  <si>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</si>
  <si>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</si>
  <si>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</si>
  <si>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</si>
  <si>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</si>
  <si>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</si>
  <si>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</si>
  <si>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</si>
  <si>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</si>
  <si>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</si>
  <si>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</si>
  <si>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</si>
  <si>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</si>
  <si>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</si>
  <si>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</si>
  <si>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</si>
  <si>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</si>
  <si>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</si>
  <si>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</si>
  <si>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</si>
  <si>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</si>
  <si>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</si>
  <si>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</si>
  <si>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</si>
  <si>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</si>
  <si>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</si>
  <si>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</si>
  <si>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</si>
  <si>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</si>
  <si>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</si>
  <si>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</si>
  <si>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</si>
  <si>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</si>
  <si>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</si>
  <si>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</si>
  <si>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</si>
  <si>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</si>
  <si>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</si>
  <si>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</si>
  <si>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</si>
  <si>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</si>
  <si>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</si>
  <si>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</si>
  <si>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</si>
  <si>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</si>
  <si>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</si>
  <si>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</si>
  <si>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</si>
  <si>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</si>
  <si>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</si>
  <si>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</si>
  <si>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</si>
  <si>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</si>
  <si>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</si>
  <si>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</si>
  <si>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</si>
  <si>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</si>
  <si>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</si>
  <si>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</si>
  <si>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</si>
  <si>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</si>
  <si>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</si>
  <si>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</si>
  <si>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</si>
  <si>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</si>
  <si>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</si>
  <si>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</si>
  <si>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</si>
  <si>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</si>
  <si>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</si>
  <si>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</si>
  <si>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</si>
  <si>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</si>
  <si>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</si>
  <si>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</si>
  <si>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</si>
  <si>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</si>
  <si>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</si>
  <si>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</si>
  <si>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</si>
  <si>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</si>
  <si>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</si>
  <si>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</si>
  <si>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</si>
  <si>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</si>
  <si>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</si>
  <si>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</si>
  <si>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</si>
  <si>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</si>
  <si>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</si>
  <si>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</si>
  <si>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</si>
  <si>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</si>
  <si>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</si>
  <si>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</si>
  <si>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</si>
  <si>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</si>
  <si>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</si>
  <si>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</si>
  <si>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</si>
  <si>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</si>
  <si>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</si>
  <si>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</si>
  <si>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</si>
  <si>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</si>
  <si>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</si>
  <si>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</si>
  <si>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</si>
  <si>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</si>
  <si>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</si>
  <si>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</si>
  <si>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</si>
  <si>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</si>
  <si>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</si>
  <si>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</si>
  <si>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</si>
  <si>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</si>
  <si>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</si>
  <si>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</si>
  <si>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</si>
  <si>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</si>
  <si>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</si>
  <si>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</si>
  <si>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</si>
  <si>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</si>
  <si>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</si>
  <si>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</si>
  <si>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</si>
  <si>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</si>
  <si>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</si>
  <si>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</si>
  <si>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</si>
  <si>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</si>
  <si>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</si>
  <si>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</si>
  <si>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</si>
  <si>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</si>
  <si>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</si>
  <si>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</si>
  <si>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</si>
  <si>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</si>
  <si>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</si>
  <si>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</si>
  <si>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</si>
  <si>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</si>
  <si>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</si>
  <si>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</si>
  <si>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</si>
  <si>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</si>
  <si>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</si>
  <si>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</si>
  <si>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</si>
  <si>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</si>
  <si>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</si>
  <si>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</si>
  <si>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</si>
  <si>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</si>
  <si>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</si>
  <si>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</si>
  <si>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</si>
  <si>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</si>
  <si>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</si>
  <si>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</si>
  <si>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</si>
  <si>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</si>
  <si>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</si>
  <si>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</si>
  <si>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</si>
  <si>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</si>
  <si>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</si>
  <si>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</si>
  <si>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</si>
  <si>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</si>
  <si>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</si>
  <si>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</si>
  <si>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</si>
  <si>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</si>
  <si>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</si>
  <si>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</si>
  <si>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</si>
  <si>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</si>
  <si>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</si>
  <si>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</si>
  <si>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</si>
  <si>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</si>
  <si>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</si>
  <si>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</si>
  <si>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</si>
  <si>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</si>
  <si>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</si>
  <si>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</si>
  <si>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</si>
  <si>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</si>
  <si>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</si>
  <si>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</si>
  <si>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</si>
  <si>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</si>
  <si>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</si>
  <si>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</si>
  <si>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</si>
  <si>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</si>
  <si>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</si>
  <si>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</si>
  <si>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</si>
  <si>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</si>
  <si>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</si>
  <si>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</si>
  <si>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</si>
  <si>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</si>
  <si>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</si>
  <si>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</si>
  <si>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</si>
  <si>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</si>
  <si>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</si>
  <si>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</si>
  <si>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</si>
  <si>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</si>
  <si>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</si>
  <si>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</si>
  <si>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</si>
  <si>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</si>
  <si>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</si>
  <si>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</si>
  <si>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</si>
  <si>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</si>
  <si>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</si>
  <si>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</si>
  <si>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</si>
  <si>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</si>
  <si>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</si>
  <si>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</si>
  <si>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</si>
  <si>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</si>
  <si>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</si>
  <si>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</si>
  <si>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</si>
  <si>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</si>
  <si>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</si>
  <si>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</si>
  <si>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</si>
  <si>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</si>
  <si>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</si>
  <si>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</si>
  <si>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</si>
  <si>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</si>
  <si>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</si>
  <si>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</si>
  <si>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</si>
  <si>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</si>
  <si>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</si>
  <si>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</si>
  <si>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</si>
  <si>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</si>
  <si>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</si>
  <si>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</si>
  <si>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</si>
  <si>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</si>
  <si>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</si>
  <si>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</si>
  <si>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</si>
  <si>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</si>
  <si>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</si>
  <si>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</si>
  <si>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</si>
  <si>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</si>
  <si>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</si>
  <si>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</si>
  <si>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</si>
  <si>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</si>
  <si>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</si>
  <si>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</si>
  <si>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</si>
  <si>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</si>
  <si>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</si>
  <si>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</si>
  <si>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</si>
  <si>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</si>
  <si>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</si>
  <si>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</si>
  <si>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</si>
  <si>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</si>
  <si>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</si>
  <si>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</si>
  <si>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</si>
  <si>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</si>
  <si>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</si>
  <si>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</si>
  <si>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</si>
  <si>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</si>
  <si>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</si>
  <si>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</si>
  <si>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</si>
  <si>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</si>
  <si>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</si>
  <si>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</si>
  <si>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</si>
  <si>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</si>
  <si>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</si>
  <si>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</si>
  <si>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</si>
  <si>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</si>
  <si>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</si>
  <si>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</si>
  <si>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</si>
  <si>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</si>
  <si>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</si>
  <si>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</si>
  <si>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</si>
  <si>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</si>
  <si>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</si>
  <si>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</si>
  <si>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</si>
  <si>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</si>
  <si>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</si>
  <si>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</si>
  <si>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</si>
  <si>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</si>
  <si>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</si>
  <si>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</si>
  <si>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</si>
  <si>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</si>
  <si>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</si>
  <si>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</si>
  <si>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</si>
  <si>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</si>
  <si>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</si>
  <si>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</si>
  <si>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</si>
  <si>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</si>
  <si>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</si>
  <si>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</si>
  <si>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</si>
  <si>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</si>
  <si>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</si>
  <si>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</si>
  <si>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</si>
  <si>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</si>
  <si>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</si>
  <si>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</si>
  <si>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</si>
  <si>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</si>
  <si>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</si>
  <si>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</si>
  <si>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</si>
  <si>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</si>
  <si>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</si>
  <si>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</si>
  <si>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</si>
  <si>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</si>
  <si>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</si>
  <si>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</si>
  <si>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</si>
  <si>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</si>
  <si>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</si>
  <si>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</si>
  <si>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</si>
  <si>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</si>
  <si>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</si>
  <si>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</si>
  <si>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</si>
  <si>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</si>
  <si>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</si>
  <si>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</si>
  <si>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</si>
  <si>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</si>
  <si>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</si>
  <si>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</si>
  <si>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</si>
  <si>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</si>
  <si>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</si>
  <si>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</si>
  <si>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</si>
  <si>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</si>
  <si>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</si>
  <si>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</si>
  <si>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</si>
  <si>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</si>
  <si>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</si>
  <si>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</si>
  <si>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</si>
  <si>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</si>
  <si>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</si>
  <si>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</si>
  <si>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</si>
  <si>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</si>
  <si>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</si>
  <si>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</si>
  <si>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</si>
  <si>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</si>
  <si>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</si>
  <si>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</si>
  <si>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</si>
  <si>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</si>
  <si>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</si>
  <si>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</si>
  <si>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</si>
  <si>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</si>
  <si>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</si>
  <si>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</si>
  <si>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</si>
  <si>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</si>
  <si>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</si>
  <si>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</si>
  <si>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</si>
  <si>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</si>
  <si>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</si>
  <si>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</si>
  <si>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</si>
  <si>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</si>
  <si>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</si>
  <si>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</si>
  <si>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</si>
  <si>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</si>
  <si>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</si>
  <si>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</si>
  <si>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</si>
  <si>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</si>
  <si>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</si>
  <si>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</si>
  <si>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</si>
  <si>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</si>
  <si>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</si>
  <si>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</si>
  <si>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</si>
  <si>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</si>
  <si>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</si>
  <si>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</si>
  <si>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</si>
  <si>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</si>
  <si>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</si>
  <si>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</si>
  <si>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</si>
  <si>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</si>
  <si>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</si>
  <si>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</si>
  <si>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</si>
  <si>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</si>
  <si>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</si>
  <si>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</si>
  <si>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</si>
  <si>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</si>
  <si>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</si>
  <si>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</si>
  <si>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</si>
  <si>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</si>
  <si>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</si>
  <si>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</si>
  <si>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</si>
  <si>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</si>
  <si>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</si>
  <si>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</si>
  <si>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</si>
  <si>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</si>
  <si>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</si>
  <si>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</si>
  <si>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</si>
  <si>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</si>
  <si>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</si>
  <si>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</si>
  <si>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</si>
  <si>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</si>
  <si>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</si>
  <si>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</si>
  <si>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</si>
  <si>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</si>
  <si>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</si>
  <si>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</si>
  <si>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</si>
  <si>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</si>
  <si>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</si>
  <si>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</si>
  <si>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</si>
  <si>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</si>
  <si>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</si>
  <si>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</si>
  <si>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</si>
  <si>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</si>
  <si>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</si>
  <si>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</si>
  <si>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</si>
  <si>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</si>
  <si>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</si>
  <si>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</si>
  <si>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</si>
  <si>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</si>
  <si>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</si>
  <si>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</si>
  <si>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</si>
  <si>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</si>
  <si>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</si>
  <si>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</si>
  <si>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</si>
  <si>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</si>
  <si>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</si>
  <si>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</si>
  <si>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</si>
  <si>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</si>
  <si>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</si>
  <si>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</si>
  <si>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</si>
  <si>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</si>
  <si>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</si>
  <si>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</si>
  <si>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</si>
  <si>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</si>
  <si>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</si>
  <si>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</si>
  <si>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</si>
  <si>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</si>
  <si>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</si>
  <si>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</si>
  <si>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</si>
  <si>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</si>
  <si>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</si>
  <si>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</si>
  <si>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</si>
  <si>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</si>
  <si>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</si>
  <si>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</si>
  <si>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</si>
  <si>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</si>
  <si>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</si>
  <si>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</si>
  <si>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</si>
  <si>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</si>
  <si>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</si>
  <si>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</si>
  <si>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</si>
  <si>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</si>
  <si>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</si>
  <si>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</si>
  <si>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</si>
  <si>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</si>
  <si>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</si>
  <si>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</si>
  <si>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</si>
  <si>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</si>
  <si>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</si>
  <si>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</si>
  <si>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</si>
  <si>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</si>
  <si>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</si>
  <si>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</si>
  <si>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</si>
  <si>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</si>
  <si>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</si>
  <si>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</si>
  <si>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</si>
  <si>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</si>
  <si>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</si>
  <si>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</si>
  <si>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</si>
  <si>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</si>
  <si>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</si>
  <si>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</si>
  <si>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</si>
  <si>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</si>
  <si>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</si>
  <si>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</si>
  <si>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</si>
  <si>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</si>
  <si>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</si>
  <si>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</si>
  <si>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</si>
  <si>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</si>
  <si>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</si>
  <si>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</si>
  <si>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</si>
  <si>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</si>
  <si>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</si>
  <si>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</si>
  <si>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</si>
  <si>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</si>
  <si>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</si>
  <si>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</si>
  <si>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</si>
  <si>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</si>
  <si>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</si>
  <si>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</si>
  <si>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</si>
  <si>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</si>
  <si>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</si>
  <si>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</si>
  <si>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</si>
  <si>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</si>
  <si>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</si>
  <si>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</si>
  <si>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</si>
  <si>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</si>
  <si>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</si>
  <si>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</si>
  <si>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</si>
  <si>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</si>
  <si>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</si>
  <si>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</si>
  <si>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</si>
  <si>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</si>
  <si>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</si>
  <si>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</si>
  <si>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</si>
  <si>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</si>
  <si>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</si>
  <si>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</si>
  <si>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</si>
  <si>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</si>
  <si>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</si>
  <si>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</si>
  <si>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</si>
  <si>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</si>
  <si>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</si>
  <si>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</si>
  <si>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</si>
  <si>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</si>
  <si>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</si>
  <si>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</si>
  <si>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</si>
  <si>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</si>
  <si>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</si>
  <si>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</si>
  <si>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</si>
  <si>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</si>
  <si>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</si>
  <si>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</si>
  <si>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</si>
  <si>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</si>
  <si>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</si>
  <si>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</si>
  <si>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</si>
  <si>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</si>
  <si>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</si>
  <si>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</si>
  <si>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</si>
  <si>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</si>
  <si>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</si>
  <si>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</si>
  <si>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</si>
  <si>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</si>
  <si>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</si>
  <si>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</si>
  <si>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</si>
  <si>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</si>
  <si>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</si>
  <si>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</si>
  <si>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</si>
  <si>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</si>
  <si>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</si>
  <si>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</si>
  <si>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</si>
  <si>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</si>
  <si>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</si>
  <si>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</si>
  <si>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</si>
  <si>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</si>
  <si>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</si>
  <si>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</si>
  <si>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</si>
  <si>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</si>
  <si>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</si>
  <si>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</si>
  <si>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</si>
  <si>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</si>
  <si>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</si>
  <si>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</si>
  <si>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</si>
  <si>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</si>
  <si>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</si>
  <si>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</si>
  <si>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</si>
  <si>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</si>
  <si>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</si>
  <si>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</si>
  <si>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</si>
  <si>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</si>
  <si>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</si>
  <si>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</si>
  <si>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</si>
  <si>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</si>
  <si>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</si>
  <si>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</si>
  <si>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</si>
  <si>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</si>
  <si>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</si>
  <si>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</si>
  <si>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</si>
  <si>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</si>
  <si>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</si>
  <si>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</si>
  <si>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</si>
  <si>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</si>
  <si>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</si>
  <si>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</si>
  <si>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</si>
  <si>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</si>
  <si>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</si>
  <si>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</si>
  <si>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</si>
  <si>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</si>
  <si>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</si>
  <si>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</si>
  <si>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</si>
  <si>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</si>
  <si>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</si>
  <si>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</si>
  <si>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</si>
  <si>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</si>
  <si>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</si>
  <si>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</si>
  <si>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</si>
  <si>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</si>
  <si>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</si>
  <si>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</si>
  <si>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</si>
  <si>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</si>
  <si>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</si>
  <si>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</si>
  <si>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</si>
  <si>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</si>
  <si>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</si>
  <si>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</si>
  <si>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</si>
  <si>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</si>
  <si>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</si>
  <si>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</si>
  <si>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</si>
  <si>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</si>
  <si>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</si>
  <si>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</si>
  <si>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</si>
  <si>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</si>
  <si>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</si>
  <si>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</si>
  <si>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</si>
  <si>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</si>
  <si>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</si>
  <si>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</si>
  <si>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</si>
  <si>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</si>
  <si>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</si>
  <si>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</si>
  <si>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</si>
  <si>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</si>
  <si>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</si>
  <si>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</si>
  <si>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</si>
  <si>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</si>
  <si>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</si>
  <si>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</si>
  <si>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</si>
  <si>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</si>
  <si>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</si>
  <si>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</si>
  <si>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</si>
  <si>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</si>
  <si>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</si>
  <si>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</si>
  <si>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</si>
  <si>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</si>
  <si>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</si>
  <si>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</si>
  <si>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</si>
  <si>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</si>
  <si>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</si>
  <si>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</si>
  <si>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</si>
  <si>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</si>
  <si>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</si>
  <si>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</si>
  <si>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</si>
  <si>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</si>
  <si>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</si>
  <si>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</si>
  <si>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</si>
  <si>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</si>
  <si>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</si>
  <si>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</si>
  <si>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</si>
  <si>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</si>
  <si>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</si>
  <si>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</si>
  <si>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</si>
  <si>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</si>
  <si>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</si>
  <si>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</si>
  <si>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</si>
  <si>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</si>
  <si>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</si>
  <si>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</si>
  <si>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</si>
  <si>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</si>
  <si>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</si>
  <si>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</si>
  <si>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</si>
  <si>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</si>
  <si>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</si>
  <si>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</si>
  <si>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</si>
  <si>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</si>
  <si>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</si>
  <si>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</si>
  <si>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</si>
  <si>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</si>
  <si>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</si>
  <si>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</si>
  <si>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</si>
  <si>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</si>
  <si>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</si>
  <si>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</si>
  <si>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</si>
  <si>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</si>
  <si>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</si>
  <si>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</si>
  <si>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</si>
  <si>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</si>
  <si>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</si>
  <si>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</si>
  <si>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</si>
  <si>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</si>
  <si>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</si>
  <si>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</si>
  <si>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</si>
  <si>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</si>
  <si>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</si>
  <si>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</si>
  <si>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</si>
  <si>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</si>
  <si>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</si>
  <si>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</si>
  <si>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</si>
  <si>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</si>
  <si>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</si>
  <si>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</si>
  <si>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</si>
  <si>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</si>
  <si>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</si>
  <si>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</si>
  <si>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</si>
  <si>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</si>
  <si>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</si>
  <si>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</si>
  <si>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</si>
  <si>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</si>
  <si>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</si>
  <si>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</si>
  <si>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</si>
  <si>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</si>
  <si>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</si>
  <si>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</si>
  <si>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</si>
  <si>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</si>
  <si>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</si>
  <si>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</si>
  <si>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</si>
  <si>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</si>
  <si>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</si>
  <si>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</si>
  <si>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</si>
  <si>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</si>
  <si>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</si>
  <si>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</si>
  <si>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</si>
  <si>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</si>
  <si>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</si>
  <si>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</si>
  <si>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</si>
  <si>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</si>
  <si>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</si>
  <si>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</si>
  <si>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</si>
  <si>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</si>
  <si>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</si>
  <si>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</si>
  <si>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</si>
  <si>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</si>
  <si>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</si>
  <si>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</si>
  <si>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</si>
  <si>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</si>
  <si>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</si>
  <si>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</si>
  <si>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</si>
  <si>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</si>
  <si>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</si>
  <si>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</si>
  <si>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</si>
  <si>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</si>
  <si>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</si>
  <si>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</si>
  <si>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</si>
  <si>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</si>
  <si>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</si>
  <si>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</si>
  <si>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</si>
  <si>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</si>
  <si>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</si>
  <si>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</si>
  <si>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</si>
  <si>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</si>
  <si>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</si>
  <si>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</si>
  <si>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</si>
  <si>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</si>
  <si>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</si>
  <si>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</si>
  <si>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</si>
  <si>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</si>
  <si>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</si>
  <si>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</si>
  <si>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</si>
  <si>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</si>
  <si>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</si>
  <si>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</si>
  <si>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</si>
  <si>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</si>
  <si>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</si>
  <si>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</si>
  <si>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</si>
  <si>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</si>
  <si>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</si>
  <si>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</si>
  <si>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</si>
  <si>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</si>
  <si>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</si>
  <si>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</si>
  <si>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</si>
  <si>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</si>
  <si>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</si>
  <si>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</si>
  <si>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</si>
  <si>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</si>
  <si>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</si>
  <si>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</si>
  <si>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</si>
  <si>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</si>
  <si>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</si>
  <si>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</si>
  <si>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</si>
  <si>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</si>
  <si>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</si>
  <si>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</si>
  <si>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</si>
  <si>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</si>
  <si>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</si>
  <si>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</si>
  <si>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</si>
  <si>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</si>
  <si>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</si>
  <si>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</si>
  <si>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</si>
  <si>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</si>
  <si>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</si>
  <si>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</si>
  <si>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</si>
  <si>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</si>
  <si>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</si>
  <si>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</si>
  <si>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</si>
  <si>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</si>
  <si>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</si>
  <si>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</si>
  <si>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</si>
  <si>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</si>
  <si>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</si>
  <si>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</si>
  <si>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</si>
  <si>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</si>
  <si>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</si>
  <si>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</si>
  <si>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</si>
  <si>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</si>
  <si>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</si>
  <si>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</si>
  <si>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</si>
  <si>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</si>
  <si>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</si>
  <si>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</si>
  <si>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</si>
  <si>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</si>
  <si>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</si>
  <si>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</si>
  <si>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</si>
  <si>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</si>
  <si>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</si>
  <si>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</si>
  <si>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</si>
  <si>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</si>
  <si>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</si>
  <si>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</si>
  <si>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</si>
  <si>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</si>
  <si>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</si>
  <si>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</si>
  <si>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</si>
  <si>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</si>
  <si>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</si>
  <si>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</si>
  <si>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</si>
  <si>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</si>
  <si>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</si>
  <si>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</si>
  <si>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</si>
  <si>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</si>
  <si>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</si>
  <si>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</si>
  <si>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</si>
  <si>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</si>
  <si>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</si>
  <si>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</si>
  <si>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</si>
  <si>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</si>
  <si>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</si>
  <si>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</si>
  <si>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</si>
  <si>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</si>
  <si>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</si>
  <si>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</si>
  <si>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</si>
  <si>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</si>
  <si>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</si>
  <si>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</si>
  <si>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</si>
  <si>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</si>
  <si>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</si>
  <si>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</si>
  <si>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</si>
  <si>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</si>
  <si>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</si>
  <si>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</si>
  <si>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</si>
  <si>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</si>
  <si>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</si>
  <si>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</si>
  <si>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</si>
  <si>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</si>
  <si>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</si>
  <si>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</si>
  <si>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</si>
  <si>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</si>
  <si>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</si>
  <si>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</si>
  <si>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</si>
  <si>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</si>
  <si>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</si>
  <si>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</si>
  <si>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</si>
  <si>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</si>
  <si>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</si>
  <si>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</si>
  <si>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</si>
  <si>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</si>
  <si>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</si>
  <si>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</si>
  <si>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</si>
  <si>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</si>
  <si>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</si>
  <si>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</si>
  <si>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</si>
  <si>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</si>
  <si>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</si>
  <si>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</si>
  <si>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</si>
  <si>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</si>
  <si>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</si>
  <si>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</si>
  <si>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</si>
  <si>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</si>
  <si>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</si>
  <si>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</si>
  <si>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</si>
  <si>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</si>
  <si>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</si>
  <si>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</si>
  <si>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</si>
  <si>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</si>
  <si>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</si>
  <si>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</si>
  <si>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</si>
  <si>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</si>
  <si>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</si>
  <si>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</si>
  <si>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</si>
  <si>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</si>
  <si>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</si>
  <si>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</si>
  <si>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</si>
  <si>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</si>
  <si>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</si>
  <si>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</si>
  <si>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</si>
  <si>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</si>
  <si>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</si>
  <si>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</si>
  <si>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</si>
  <si>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</si>
  <si>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</si>
  <si>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</si>
  <si>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</si>
  <si>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</si>
  <si>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</si>
  <si>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</si>
  <si>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</si>
  <si>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</si>
  <si>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</si>
  <si>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</si>
  <si>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</si>
  <si>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</si>
  <si>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</si>
  <si>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</si>
  <si>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</si>
  <si>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</si>
  <si>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</si>
  <si>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</si>
  <si>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</si>
  <si>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</si>
  <si>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</si>
  <si>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</si>
  <si>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</si>
  <si>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</si>
  <si>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</si>
  <si>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</si>
  <si>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</si>
  <si>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</si>
  <si>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</si>
  <si>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</si>
  <si>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</si>
  <si>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</si>
  <si>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</si>
  <si>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</si>
  <si>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</si>
  <si>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</si>
  <si>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</si>
  <si>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</si>
  <si>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</si>
  <si>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</si>
  <si>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</si>
  <si>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</si>
  <si>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</si>
  <si>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</si>
  <si>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</si>
  <si>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</si>
  <si>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</si>
  <si>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</si>
  <si>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</si>
  <si>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</si>
  <si>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</si>
  <si>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</si>
  <si>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</si>
  <si>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</si>
  <si>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</si>
  <si>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</si>
  <si>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</si>
  <si>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</si>
  <si>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</si>
  <si>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</si>
  <si>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</si>
  <si>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</si>
  <si>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</si>
  <si>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</si>
  <si>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</si>
  <si>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</si>
  <si>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</si>
  <si>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</si>
  <si>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</si>
  <si>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</si>
  <si>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</si>
  <si>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</si>
  <si>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</si>
  <si>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</si>
  <si>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</si>
  <si>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</si>
  <si>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</si>
  <si>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</si>
  <si>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</si>
  <si>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</si>
  <si>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</si>
  <si>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</si>
  <si>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</si>
  <si>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</si>
  <si>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</si>
  <si>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</si>
  <si>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</si>
  <si>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</si>
  <si>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</si>
  <si>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</si>
  <si>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</si>
  <si>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</si>
  <si>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</si>
  <si>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</si>
  <si>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</si>
  <si>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</si>
  <si>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</si>
  <si>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</si>
  <si>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</si>
  <si>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</si>
  <si>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</si>
  <si>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</si>
  <si>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</si>
  <si>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</si>
  <si>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</si>
  <si>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</si>
  <si>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</si>
  <si>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</si>
  <si>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</si>
  <si>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</si>
  <si>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</si>
  <si>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</si>
  <si>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</si>
  <si>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</si>
  <si>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</si>
  <si>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</si>
  <si>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</si>
  <si>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</si>
  <si>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</si>
  <si>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</si>
  <si>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</si>
  <si>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</si>
  <si>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</si>
  <si>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</si>
  <si>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</si>
  <si>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</si>
  <si>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</si>
  <si>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</si>
  <si>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</si>
  <si>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</si>
  <si>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</si>
  <si>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</si>
  <si>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</si>
  <si>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</si>
  <si>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</si>
  <si>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</si>
  <si>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</si>
  <si>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</si>
  <si>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</si>
  <si>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</si>
  <si>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</si>
  <si>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</si>
  <si>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</si>
  <si>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</si>
  <si>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</si>
  <si>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</si>
  <si>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</si>
  <si>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</si>
  <si>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</si>
  <si>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</si>
  <si>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</si>
  <si>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</si>
  <si>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</si>
  <si>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</si>
  <si>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</si>
  <si>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</si>
  <si>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</si>
  <si>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</si>
  <si>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</si>
  <si>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</si>
  <si>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</si>
  <si>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</si>
  <si>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</si>
  <si>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</si>
  <si>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</si>
  <si>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</si>
  <si>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</si>
  <si>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</si>
  <si>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</si>
  <si>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</si>
  <si>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</si>
  <si>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</si>
  <si>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</si>
  <si>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</si>
  <si>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</si>
  <si>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</si>
  <si>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</si>
  <si>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</si>
  <si>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</si>
  <si>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</si>
  <si>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</si>
  <si>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</si>
  <si>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</si>
  <si>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</si>
  <si>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</si>
  <si>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</si>
  <si>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</si>
  <si>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</si>
  <si>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</si>
  <si>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</si>
  <si>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</si>
  <si>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</si>
  <si>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</si>
  <si>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</si>
  <si>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</si>
  <si>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</si>
  <si>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</si>
  <si>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</si>
  <si>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</si>
  <si>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</si>
  <si>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</si>
  <si>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</si>
  <si>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</si>
  <si>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</si>
  <si>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</si>
  <si>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</si>
  <si>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</si>
  <si>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</si>
  <si>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</si>
  <si>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</si>
  <si>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</si>
  <si>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</si>
  <si>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</si>
  <si>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</si>
  <si>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</si>
  <si>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</si>
  <si>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</si>
  <si>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</si>
  <si>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</si>
  <si>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</si>
  <si>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</si>
  <si>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</si>
  <si>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</si>
  <si>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</si>
  <si>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</si>
  <si>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</si>
  <si>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</si>
  <si>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</si>
  <si>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</si>
  <si>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</si>
  <si>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</si>
  <si>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</si>
  <si>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</si>
  <si>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</si>
  <si>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</si>
  <si>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</si>
  <si>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</si>
  <si>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</si>
  <si>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</si>
  <si>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</si>
  <si>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</si>
  <si>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</si>
  <si>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</si>
  <si>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</si>
  <si>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</si>
  <si>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</si>
  <si>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</si>
  <si>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</si>
  <si>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</si>
  <si>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</si>
  <si>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</si>
  <si>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</si>
  <si>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</si>
  <si>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</si>
  <si>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</si>
  <si>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</si>
  <si>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</si>
  <si>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</si>
  <si>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</si>
  <si>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</si>
  <si>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</si>
  <si>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</si>
  <si>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</si>
  <si>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</si>
  <si>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</si>
  <si>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</si>
  <si>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</si>
  <si>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</si>
  <si>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</si>
  <si>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</si>
  <si>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</si>
  <si>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</si>
  <si>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</si>
  <si>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</si>
  <si>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</si>
  <si>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</si>
  <si>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</si>
  <si>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</si>
  <si>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</si>
  <si>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</si>
  <si>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</si>
  <si>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</si>
  <si>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</si>
  <si>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</si>
  <si>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</si>
  <si>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</si>
  <si>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</si>
  <si>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</si>
  <si>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</si>
  <si>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</si>
  <si>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</si>
  <si>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</si>
  <si>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</si>
  <si>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</si>
  <si>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</si>
  <si>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</si>
  <si>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</si>
  <si>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</si>
  <si>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</si>
  <si>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</si>
  <si>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</si>
  <si>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</si>
  <si>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</si>
  <si>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</si>
  <si>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</si>
  <si>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</si>
  <si>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</si>
  <si>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</si>
  <si>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</si>
  <si>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</si>
  <si>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</si>
  <si>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</si>
  <si>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</si>
  <si>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</si>
  <si>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</si>
  <si>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</si>
  <si>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</si>
  <si>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</si>
  <si>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</si>
  <si>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</si>
  <si>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</si>
  <si>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</si>
  <si>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</si>
  <si>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</si>
  <si>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</si>
  <si>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</si>
  <si>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</si>
  <si>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</si>
  <si>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</si>
  <si>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</si>
  <si>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</si>
  <si>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</si>
  <si>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</si>
  <si>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</si>
  <si>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</si>
  <si>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</si>
  <si>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</si>
  <si>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</si>
  <si>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</si>
  <si>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</si>
  <si>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</si>
  <si>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</si>
  <si>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</si>
  <si>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</si>
  <si>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</si>
  <si>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</si>
  <si>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</si>
  <si>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</si>
  <si>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</si>
  <si>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</si>
  <si>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</si>
  <si>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</si>
  <si>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</si>
  <si>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</si>
  <si>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</si>
  <si>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</si>
  <si>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</si>
  <si>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</si>
  <si>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</si>
  <si>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</si>
  <si>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</si>
  <si>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</si>
  <si>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</si>
  <si>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</si>
  <si>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</si>
  <si>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</si>
  <si>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</si>
  <si>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</si>
  <si>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</si>
  <si>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</si>
  <si>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</si>
  <si>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</si>
  <si>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</si>
  <si>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</si>
  <si>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</si>
  <si>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</si>
  <si>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</si>
  <si>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</si>
  <si>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</si>
  <si>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</si>
  <si>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</si>
  <si>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</si>
  <si>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</si>
  <si>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</si>
  <si>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</si>
  <si>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</si>
  <si>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</si>
  <si>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</si>
  <si>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</si>
  <si>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</si>
  <si>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</si>
  <si>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</si>
  <si>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</si>
  <si>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</si>
  <si>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</si>
  <si>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</si>
  <si>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</si>
  <si>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</si>
  <si>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</si>
  <si>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</si>
  <si>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</si>
  <si>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</si>
  <si>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</si>
  <si>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</si>
  <si>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</si>
  <si>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</si>
  <si>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</si>
  <si>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</si>
  <si>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</si>
  <si>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</si>
  <si>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</si>
  <si>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</si>
  <si>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</si>
  <si>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</si>
  <si>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</si>
  <si>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</si>
  <si>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</si>
  <si>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</si>
  <si>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</si>
  <si>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</si>
  <si>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</si>
  <si>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</si>
  <si>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</si>
  <si>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</si>
  <si>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</si>
  <si>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</si>
  <si>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</si>
  <si>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</si>
  <si>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</si>
  <si>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</si>
  <si>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</si>
  <si>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</si>
  <si>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</si>
  <si>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</si>
  <si>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</si>
  <si>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</si>
  <si>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</si>
  <si>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</si>
  <si>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</si>
  <si>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</si>
  <si>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</si>
  <si>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</si>
  <si>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</si>
  <si>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</si>
  <si>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</si>
  <si>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</si>
  <si>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</si>
  <si>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</si>
  <si>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</si>
  <si>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</si>
  <si>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</si>
  <si>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</si>
  <si>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</si>
  <si>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</si>
  <si>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</si>
  <si>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</si>
  <si>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</si>
  <si>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</si>
  <si>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</si>
  <si>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</si>
  <si>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</si>
  <si>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</si>
  <si>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</si>
  <si>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</si>
  <si>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</si>
  <si>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</si>
  <si>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</si>
  <si>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</si>
  <si>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</si>
  <si>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</si>
  <si>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</si>
  <si>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</si>
  <si>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</si>
  <si>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</si>
  <si>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</si>
  <si>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</si>
  <si>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</si>
  <si>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</si>
  <si>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</si>
  <si>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</si>
  <si>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</si>
  <si>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</si>
  <si>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</si>
  <si>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</si>
  <si>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</si>
  <si>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</si>
  <si>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</si>
  <si>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</si>
  <si>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</si>
  <si>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</si>
  <si>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</si>
  <si>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</si>
  <si>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</si>
  <si>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</si>
  <si>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</si>
  <si>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</si>
  <si>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</si>
  <si>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</si>
  <si>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</si>
  <si>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</si>
  <si>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</si>
  <si>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</si>
  <si>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</si>
  <si>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</si>
  <si>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</si>
  <si>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</si>
  <si>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</si>
  <si>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</si>
  <si>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</si>
  <si>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</si>
  <si>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</si>
  <si>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</si>
  <si>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</si>
  <si>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</si>
  <si>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</si>
  <si>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</si>
  <si>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</si>
  <si>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</si>
  <si>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</si>
  <si>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</si>
  <si>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</si>
  <si>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</si>
  <si>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</si>
  <si>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</si>
  <si>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</si>
  <si>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</si>
  <si>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</si>
  <si>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</si>
  <si>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</si>
  <si>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</si>
  <si>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</si>
  <si>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</si>
  <si>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</si>
  <si>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</si>
  <si>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</si>
  <si>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</si>
  <si>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</si>
  <si>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</si>
  <si>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</si>
  <si>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</si>
  <si>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</si>
  <si>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</si>
  <si>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</si>
  <si>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</si>
  <si>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</si>
  <si>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</si>
  <si>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</si>
  <si>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</si>
  <si>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</si>
  <si>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</si>
  <si>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</si>
  <si>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</si>
  <si>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</si>
  <si>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</si>
  <si>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</si>
  <si>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</si>
  <si>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</si>
  <si>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</si>
  <si>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</si>
  <si>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</si>
  <si>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</si>
  <si>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</si>
  <si>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</si>
  <si>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</si>
  <si>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</si>
  <si>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</si>
  <si>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</si>
  <si>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</si>
  <si>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</si>
  <si>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</si>
  <si>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</si>
  <si>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</si>
  <si>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</si>
  <si>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</si>
  <si>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</si>
  <si>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</si>
  <si>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</si>
  <si>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</si>
  <si>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</si>
  <si>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</si>
  <si>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</si>
  <si>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</si>
  <si>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</si>
  <si>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</si>
  <si>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</si>
  <si>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</si>
  <si>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</si>
  <si>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</si>
  <si>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</si>
  <si>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</si>
  <si>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</si>
  <si>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</si>
  <si>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</si>
  <si>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</si>
  <si>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</si>
  <si>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</si>
  <si>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</si>
  <si>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</si>
  <si>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</si>
  <si>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</si>
  <si>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</si>
  <si>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</si>
  <si>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</si>
  <si>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</si>
  <si>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</si>
  <si>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</si>
  <si>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</si>
  <si>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</si>
  <si>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</si>
  <si>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</si>
  <si>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</si>
  <si>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</si>
  <si>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</si>
  <si>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</si>
  <si>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</si>
  <si>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</si>
  <si>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</si>
  <si>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</si>
  <si>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</si>
  <si>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</si>
  <si>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</si>
  <si>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</si>
  <si>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</si>
  <si>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</si>
  <si>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</si>
  <si>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</si>
  <si>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</si>
  <si>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</si>
  <si>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</si>
  <si>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</si>
  <si>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</si>
  <si>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</si>
  <si>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</si>
  <si>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</si>
  <si>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</si>
  <si>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</si>
  <si>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</si>
  <si>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</si>
  <si>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</si>
  <si>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</si>
  <si>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</si>
  <si>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</si>
  <si>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</si>
  <si>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</si>
  <si>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</si>
  <si>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</si>
  <si>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</si>
  <si>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</si>
  <si>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</si>
  <si>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</si>
  <si>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</si>
  <si>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</si>
  <si>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</si>
  <si>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</si>
  <si>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</si>
  <si>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</si>
  <si>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</si>
  <si>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</si>
  <si>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</si>
  <si>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</si>
  <si>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</si>
  <si>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</si>
  <si>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</si>
  <si>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</si>
  <si>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</si>
  <si>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</si>
  <si>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</si>
  <si>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</si>
  <si>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</si>
  <si>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</si>
  <si>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</si>
  <si>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</si>
  <si>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</si>
  <si>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</si>
  <si>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</si>
  <si>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</si>
  <si>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</si>
  <si>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</si>
  <si>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</si>
  <si>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</si>
  <si>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</si>
  <si>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</si>
  <si>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</si>
  <si>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</si>
  <si>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</si>
  <si>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</si>
  <si>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</si>
  <si>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</si>
  <si>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</si>
  <si>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</si>
  <si>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</si>
  <si>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</si>
  <si>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</si>
  <si>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</si>
  <si>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</si>
  <si>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</si>
  <si>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</si>
  <si>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</si>
  <si>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</si>
  <si>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</si>
  <si>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</si>
  <si>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</si>
  <si>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</si>
  <si>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</si>
  <si>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</si>
  <si>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</si>
  <si>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</si>
  <si>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</si>
  <si>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</si>
  <si>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</si>
  <si>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</si>
  <si>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</si>
  <si>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</si>
  <si>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</si>
  <si>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</si>
  <si>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</si>
  <si>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</si>
  <si>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</si>
  <si>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</si>
  <si>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</si>
  <si>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</si>
  <si>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</si>
  <si>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</si>
  <si>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</si>
  <si>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</si>
  <si>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</si>
  <si>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</si>
  <si>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</si>
  <si>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</si>
  <si>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</si>
  <si>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</si>
  <si>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</si>
  <si>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</si>
  <si>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</si>
  <si>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</si>
  <si>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</si>
  <si>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</si>
  <si>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</si>
  <si>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</si>
  <si>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</si>
  <si>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</si>
  <si>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</si>
  <si>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</si>
  <si>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</si>
  <si>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</si>
  <si>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</si>
  <si>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</si>
  <si>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</si>
  <si>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</si>
  <si>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</si>
  <si>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</si>
  <si>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</si>
  <si>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</si>
  <si>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</si>
  <si>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</si>
  <si>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</si>
  <si>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</si>
  <si>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</si>
  <si>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</si>
  <si>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</si>
  <si>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</si>
  <si>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</si>
  <si>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</si>
  <si>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</si>
  <si>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</si>
  <si>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</si>
  <si>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</si>
  <si>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</si>
  <si>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</si>
  <si>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</si>
  <si>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</si>
  <si>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</si>
  <si>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</si>
  <si>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</si>
  <si>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</si>
  <si>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</si>
  <si>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</si>
  <si>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</si>
  <si>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</si>
  <si>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</si>
  <si>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</si>
  <si>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</si>
  <si>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</si>
  <si>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</si>
  <si>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</si>
  <si>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</si>
  <si>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</si>
  <si>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</si>
  <si>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</si>
  <si>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</si>
  <si>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</si>
  <si>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</si>
  <si>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</si>
  <si>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</si>
  <si>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</si>
  <si>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</si>
  <si>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</si>
  <si>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</si>
  <si>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</si>
  <si>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</si>
  <si>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</si>
  <si>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</si>
  <si>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</si>
  <si>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</si>
  <si>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</si>
  <si>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</si>
  <si>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</si>
  <si>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</si>
  <si>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</si>
  <si>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</si>
  <si>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</si>
  <si>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</si>
  <si>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</si>
  <si>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</si>
  <si>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</si>
  <si>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</si>
  <si>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</si>
  <si>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</si>
  <si>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</si>
  <si>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</si>
  <si>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</si>
  <si>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</si>
  <si>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</si>
  <si>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</si>
  <si>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</si>
  <si>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</si>
  <si>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</si>
  <si>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</si>
  <si>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</si>
  <si>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</si>
  <si>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</si>
  <si>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</si>
  <si>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</si>
  <si>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</si>
  <si>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</si>
  <si>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</si>
  <si>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</si>
  <si>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</si>
  <si>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</si>
  <si>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</si>
  <si>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</si>
  <si>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</si>
  <si>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</si>
  <si>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</si>
  <si>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</si>
  <si>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</si>
  <si>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</si>
  <si>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</si>
  <si>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</si>
  <si>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</si>
  <si>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</si>
  <si>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</si>
  <si>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</si>
  <si>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</si>
  <si>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</si>
  <si>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</si>
  <si>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</si>
  <si>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</si>
  <si>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</si>
  <si>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</si>
  <si>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</si>
  <si>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</si>
  <si>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</si>
  <si>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</si>
  <si>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</si>
  <si>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</si>
  <si>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</si>
  <si>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</si>
  <si>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</si>
  <si>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</si>
  <si>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</si>
  <si>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</si>
  <si>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</si>
  <si>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</si>
  <si>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</si>
  <si>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</si>
  <si>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</si>
  <si>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</si>
  <si>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</si>
  <si>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</si>
  <si>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</si>
  <si>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</si>
  <si>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</si>
  <si>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</si>
  <si>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</si>
  <si>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</si>
  <si>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</si>
  <si>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</si>
  <si>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</si>
  <si>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</si>
  <si>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</si>
  <si>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</si>
  <si>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</si>
  <si>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</si>
  <si>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</si>
  <si>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</si>
  <si>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</si>
  <si>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</si>
  <si>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</si>
  <si>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</si>
  <si>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</si>
  <si>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</si>
  <si>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</si>
  <si>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</si>
  <si>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</si>
  <si>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</si>
  <si>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</si>
  <si>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</si>
  <si>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</si>
  <si>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</si>
  <si>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</si>
  <si>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</si>
  <si>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</si>
  <si>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</si>
  <si>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</si>
  <si>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</si>
  <si>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</si>
  <si>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</si>
  <si>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</si>
  <si>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</si>
  <si>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</si>
  <si>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</si>
  <si>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</si>
  <si>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</si>
  <si>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</si>
  <si>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</si>
  <si>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</si>
  <si>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</si>
  <si>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</si>
  <si>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</si>
  <si>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</si>
  <si>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</si>
  <si>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</si>
  <si>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</si>
  <si>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</si>
  <si>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</si>
  <si>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</si>
  <si>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</si>
  <si>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</si>
  <si>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</si>
  <si>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</si>
  <si>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</si>
  <si>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</si>
  <si>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</si>
  <si>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</si>
  <si>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</si>
  <si>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</si>
  <si>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</si>
  <si>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</si>
  <si>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</si>
  <si>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</si>
  <si>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</si>
  <si>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</si>
  <si>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</si>
  <si>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</si>
  <si>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</si>
  <si>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</si>
  <si>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</si>
  <si>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</si>
  <si>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</si>
  <si>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</si>
  <si>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</si>
  <si>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</si>
  <si>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</si>
  <si>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</si>
  <si>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</si>
  <si>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</si>
  <si>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</si>
  <si>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</si>
  <si>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</si>
  <si>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</si>
  <si>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</si>
  <si>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</si>
  <si>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</si>
  <si>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</si>
  <si>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</si>
  <si>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</si>
  <si>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</si>
  <si>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</si>
  <si>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</si>
  <si>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</si>
  <si>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</si>
  <si>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</si>
  <si>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</si>
  <si>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</si>
  <si>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</si>
  <si>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</si>
  <si>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</si>
  <si>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</si>
  <si>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</si>
  <si>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</si>
  <si>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</si>
  <si>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</si>
  <si>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</si>
  <si>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</si>
  <si>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</si>
  <si>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</si>
  <si>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</si>
  <si>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</si>
  <si>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</si>
  <si>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</si>
  <si>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</si>
  <si>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</si>
  <si>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</si>
  <si>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</si>
  <si>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</si>
  <si>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</si>
  <si>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</si>
  <si>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</si>
  <si>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</si>
  <si>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</si>
  <si>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</si>
  <si>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</si>
  <si>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</si>
  <si>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</si>
  <si>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</si>
  <si>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</si>
  <si>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</si>
  <si>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</si>
  <si>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</si>
  <si>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</si>
  <si>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</si>
  <si>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</si>
  <si>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</si>
  <si>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</si>
  <si>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</si>
  <si>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</si>
  <si>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</si>
  <si>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</si>
  <si>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</si>
  <si>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</si>
  <si>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</si>
  <si>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</si>
  <si>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</si>
  <si>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</si>
  <si>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</si>
  <si>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</si>
  <si>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</si>
  <si>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</si>
  <si>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</si>
  <si>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</si>
  <si>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</si>
  <si>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</si>
  <si>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</si>
  <si>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</si>
  <si>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</si>
  <si>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</si>
  <si>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</si>
  <si>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</si>
  <si>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</si>
  <si>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</si>
  <si>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</si>
  <si>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</si>
  <si>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</si>
  <si>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</si>
  <si>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</si>
  <si>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</si>
  <si>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</si>
  <si>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</si>
  <si>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</si>
  <si>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</si>
  <si>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</si>
  <si>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</si>
  <si>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</si>
  <si>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</si>
  <si>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</si>
  <si>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</si>
  <si>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</si>
  <si>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</si>
  <si>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</si>
  <si>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</si>
  <si>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</si>
  <si>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</si>
  <si>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</si>
  <si>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</si>
  <si>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</si>
  <si>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</si>
  <si>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</si>
  <si>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</si>
  <si>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</si>
  <si>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</si>
  <si>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</si>
  <si>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</si>
  <si>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</si>
  <si>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</si>
  <si>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</si>
  <si>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</si>
  <si>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</si>
  <si>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</si>
  <si>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</si>
  <si>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</si>
  <si>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</si>
  <si>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</si>
  <si>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</si>
  <si>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</si>
  <si>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</si>
  <si>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</si>
  <si>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</si>
  <si>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</si>
  <si>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</si>
  <si>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</si>
  <si>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</si>
  <si>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</si>
  <si>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</si>
  <si>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</si>
  <si>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</si>
  <si>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</si>
  <si>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</si>
  <si>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</si>
  <si>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</si>
  <si>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</si>
  <si>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</si>
  <si>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</si>
  <si>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</si>
  <si>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</si>
  <si>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</si>
  <si>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</si>
  <si>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</si>
  <si>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</si>
  <si>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</si>
  <si>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</si>
  <si>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</si>
  <si>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</si>
  <si>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</si>
  <si>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</si>
  <si>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</si>
  <si>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</si>
  <si>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</si>
  <si>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</si>
  <si>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</si>
  <si>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</si>
  <si>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</si>
  <si>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</si>
  <si>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</si>
  <si>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</si>
  <si>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</si>
  <si>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</si>
  <si>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</si>
  <si>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</si>
  <si>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</si>
  <si>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</si>
  <si>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</si>
  <si>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</si>
  <si>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</si>
  <si>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</si>
  <si>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</si>
  <si>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</si>
  <si>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</si>
  <si>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</si>
  <si>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</si>
  <si>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</si>
  <si>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</si>
  <si>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</si>
  <si>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</si>
  <si>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</si>
  <si>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</si>
  <si>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</si>
  <si>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</si>
  <si>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</si>
  <si>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</si>
  <si>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</si>
  <si>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</si>
  <si>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</si>
  <si>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</si>
  <si>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</si>
  <si>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</si>
  <si>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</si>
  <si>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</si>
  <si>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</si>
  <si>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</si>
  <si>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</si>
  <si>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</si>
  <si>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</si>
  <si>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</si>
  <si>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</si>
  <si>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</si>
  <si>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</si>
  <si>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</si>
  <si>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</si>
  <si>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</si>
  <si>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</si>
  <si>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</si>
  <si>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</si>
  <si>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</si>
  <si>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</si>
  <si>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</si>
  <si>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</si>
  <si>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</si>
  <si>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</si>
  <si>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</si>
  <si>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</si>
  <si>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</si>
  <si>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</si>
  <si>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</si>
  <si>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</si>
  <si>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</si>
  <si>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</si>
  <si>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</si>
  <si>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</si>
  <si>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</si>
  <si>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</si>
  <si>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</si>
  <si>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</si>
  <si>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</si>
  <si>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</si>
  <si>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</si>
  <si>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</si>
  <si>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</si>
  <si>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</si>
  <si>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</si>
  <si>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</si>
  <si>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</si>
  <si>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</si>
  <si>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</si>
  <si>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</si>
  <si>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</si>
  <si>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</si>
  <si>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</si>
  <si>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</si>
  <si>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</si>
  <si>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</si>
  <si>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</si>
  <si>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</si>
  <si>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</si>
  <si>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</si>
  <si>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</si>
  <si>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</si>
  <si>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</si>
  <si>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</si>
  <si>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</si>
  <si>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</si>
  <si>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</si>
  <si>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</si>
  <si>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</si>
  <si>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</si>
  <si>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</si>
  <si>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</si>
  <si>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</si>
  <si>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</si>
  <si>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</si>
  <si>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</si>
  <si>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</si>
  <si>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</si>
  <si>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</si>
  <si>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</si>
  <si>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</si>
  <si>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</si>
  <si>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</si>
  <si>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</si>
  <si>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</si>
  <si>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</si>
  <si>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</si>
  <si>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</si>
  <si>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</si>
  <si>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</si>
  <si>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</si>
  <si>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</si>
  <si>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</si>
  <si>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</si>
  <si>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</si>
  <si>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</si>
  <si>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</si>
  <si>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</si>
  <si>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</si>
  <si>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</si>
  <si>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</si>
  <si>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</si>
  <si>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</si>
  <si>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</si>
  <si>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</si>
  <si>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</si>
  <si>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</si>
  <si>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</si>
  <si>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</si>
  <si>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</si>
  <si>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</si>
  <si>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</si>
  <si>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</si>
  <si>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</si>
  <si>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</si>
  <si>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</si>
  <si>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</si>
  <si>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</si>
  <si>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</si>
  <si>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</si>
  <si>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</si>
  <si>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</si>
  <si>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</si>
  <si>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</si>
  <si>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</si>
  <si>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</si>
  <si>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</si>
  <si>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</si>
  <si>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</si>
  <si>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</si>
  <si>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</si>
  <si>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</si>
  <si>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</si>
  <si>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</si>
  <si>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</si>
  <si>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</si>
  <si>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</si>
  <si>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</si>
  <si>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</si>
  <si>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</si>
  <si>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</si>
  <si>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</si>
  <si>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</si>
  <si>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</si>
  <si>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</si>
  <si>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</si>
  <si>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</si>
  <si>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</si>
  <si>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</si>
  <si>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</si>
  <si>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</si>
  <si>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</si>
  <si>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</si>
  <si>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</si>
  <si>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</si>
  <si>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</si>
  <si>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</si>
  <si>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</si>
  <si>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</si>
  <si>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</si>
  <si>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</si>
  <si>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</si>
  <si>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</si>
  <si>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</si>
  <si>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</si>
  <si>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</si>
  <si>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</si>
  <si>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</si>
  <si>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</si>
  <si>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</si>
  <si>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</si>
  <si>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</si>
  <si>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</si>
  <si>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</si>
  <si>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</si>
  <si>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</si>
  <si>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</si>
  <si>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</si>
  <si>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</si>
  <si>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</si>
  <si>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</si>
  <si>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</si>
  <si>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</si>
  <si>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</si>
  <si>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</si>
  <si>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</si>
  <si>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</si>
  <si>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</si>
  <si>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</si>
  <si>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</si>
  <si>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</si>
  <si>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</si>
  <si>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</si>
  <si>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</si>
  <si>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</si>
  <si>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</si>
  <si>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</si>
  <si>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</si>
  <si>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</si>
  <si>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</si>
  <si>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</si>
  <si>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</si>
  <si>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</si>
  <si>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</si>
  <si>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</si>
  <si>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</si>
  <si>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</si>
  <si>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</si>
  <si>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</si>
  <si>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</si>
  <si>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</si>
  <si>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</si>
  <si>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</si>
  <si>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</si>
  <si>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</si>
  <si>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</si>
  <si>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</si>
  <si>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</si>
  <si>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</si>
  <si>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</si>
  <si>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</si>
  <si>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</si>
  <si>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</si>
  <si>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</si>
  <si>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</si>
  <si>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</si>
  <si>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</si>
  <si>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</si>
  <si>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</si>
  <si>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</si>
  <si>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</si>
  <si>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</si>
  <si>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</si>
  <si>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</si>
  <si>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</si>
  <si>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</si>
  <si>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</si>
  <si>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</si>
  <si>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</si>
  <si>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</si>
  <si>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</si>
  <si>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</si>
  <si>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</si>
  <si>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</si>
  <si>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</si>
  <si>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</si>
  <si>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</si>
  <si>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</si>
  <si>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</si>
  <si>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</si>
  <si>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</si>
  <si>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</si>
  <si>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</si>
  <si>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</si>
  <si>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</si>
  <si>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</si>
  <si>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</si>
  <si>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</si>
  <si>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</si>
  <si>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</si>
  <si>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</si>
  <si>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</si>
  <si>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</si>
  <si>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</si>
  <si>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</si>
  <si>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</si>
  <si>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</si>
  <si>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</si>
  <si>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</si>
  <si>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</si>
  <si>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</si>
  <si>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</si>
  <si>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</si>
  <si>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</si>
  <si>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</si>
  <si>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</si>
  <si>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</si>
  <si>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</si>
  <si>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</si>
  <si>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</si>
  <si>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</si>
  <si>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</si>
  <si>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</si>
  <si>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</si>
  <si>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</si>
  <si>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</si>
  <si>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</si>
  <si>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</si>
  <si>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</si>
  <si>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</si>
  <si>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</si>
  <si>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</si>
  <si>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</si>
  <si>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</si>
  <si>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</si>
  <si>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</si>
  <si>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</si>
  <si>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</si>
  <si>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</si>
  <si>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</si>
  <si>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</si>
  <si>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</si>
  <si>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</si>
  <si>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</si>
  <si>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</si>
  <si>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</si>
  <si>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</si>
  <si>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</si>
  <si>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</si>
  <si>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</si>
  <si>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</si>
  <si>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</si>
  <si>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</si>
  <si>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</si>
  <si>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</si>
  <si>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</si>
  <si>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</si>
  <si>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</si>
  <si>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</si>
  <si>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</si>
  <si>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</si>
  <si>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</si>
  <si>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</si>
  <si>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</si>
  <si>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</si>
  <si>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</si>
  <si>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</si>
  <si>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</si>
  <si>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</si>
  <si>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</si>
  <si>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</si>
  <si>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</si>
  <si>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</si>
  <si>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</si>
  <si>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</si>
  <si>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</si>
  <si>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</si>
  <si>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</si>
  <si>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</si>
  <si>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</si>
  <si>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</si>
  <si>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</si>
  <si>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</si>
  <si>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</si>
  <si>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</si>
  <si>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</si>
  <si>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</si>
  <si>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</si>
  <si>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</si>
  <si>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</si>
  <si>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</si>
  <si>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</si>
  <si>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</si>
  <si>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</si>
  <si>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</si>
  <si>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</si>
  <si>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</si>
  <si>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</si>
  <si>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</si>
  <si>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</si>
  <si>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</si>
  <si>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</si>
  <si>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</si>
  <si>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</si>
  <si>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</si>
  <si>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</si>
  <si>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</si>
  <si>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</si>
  <si>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</si>
  <si>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</si>
  <si>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</si>
  <si>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</si>
  <si>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</si>
  <si>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</si>
  <si>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</si>
  <si>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</si>
  <si>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</si>
  <si>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</si>
  <si>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</si>
  <si>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</si>
  <si>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</si>
  <si>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</si>
  <si>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</si>
  <si>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</si>
  <si>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</si>
  <si>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</si>
  <si>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</si>
  <si>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</si>
  <si>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</si>
  <si>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</si>
  <si>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</si>
  <si>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</si>
  <si>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</si>
  <si>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</si>
  <si>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</si>
  <si>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</si>
  <si>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</si>
  <si>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</si>
  <si>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</si>
  <si>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</si>
  <si>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</si>
  <si>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</si>
  <si>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</si>
  <si>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</si>
  <si>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</si>
  <si>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</si>
  <si>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</si>
  <si>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</si>
  <si>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</si>
  <si>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</si>
  <si>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</si>
  <si>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</si>
  <si>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</si>
  <si>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</si>
  <si>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</si>
  <si>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</si>
  <si>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</si>
  <si>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</si>
  <si>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</si>
  <si>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</si>
  <si>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</si>
  <si>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</si>
  <si>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</si>
  <si>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</si>
  <si>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</si>
  <si>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</si>
  <si>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</si>
  <si>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</si>
  <si>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</si>
  <si>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</si>
  <si>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</si>
  <si>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</si>
  <si>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</si>
  <si>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</si>
  <si>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</si>
  <si>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</si>
  <si>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</si>
  <si>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</si>
  <si>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</si>
  <si>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</si>
  <si>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</si>
  <si>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</si>
  <si>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</si>
  <si>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</si>
  <si>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</si>
  <si>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</si>
  <si>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</si>
  <si>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</si>
  <si>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</si>
  <si>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</si>
  <si>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</si>
  <si>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</si>
  <si>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</si>
  <si>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</si>
  <si>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</si>
  <si>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</si>
  <si>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</si>
  <si>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</si>
  <si>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</si>
  <si>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</si>
  <si>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</si>
  <si>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</si>
  <si>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</si>
  <si>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</si>
  <si>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</si>
  <si>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</si>
  <si>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</si>
  <si>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</si>
  <si>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</si>
  <si>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</si>
  <si>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</si>
  <si>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</si>
  <si>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</si>
  <si>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</si>
  <si>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</si>
  <si>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</si>
  <si>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</si>
  <si>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</si>
  <si>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</si>
  <si>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</si>
  <si>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</si>
  <si>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</si>
  <si>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</si>
  <si>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</si>
  <si>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</si>
  <si>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</si>
  <si>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</si>
  <si>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</si>
  <si>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</si>
  <si>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</si>
  <si>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</si>
  <si>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</si>
  <si>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</si>
  <si>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</si>
  <si>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</si>
  <si>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</si>
  <si>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</si>
  <si>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</si>
  <si>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</si>
  <si>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</si>
  <si>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</si>
  <si>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</si>
  <si>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</si>
  <si>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</si>
  <si>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</si>
  <si>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</si>
  <si>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</si>
  <si>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</si>
  <si>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</si>
  <si>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</si>
  <si>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</si>
  <si>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</si>
  <si>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</si>
  <si>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</si>
  <si>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</si>
  <si>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</si>
  <si>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</si>
  <si>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</si>
  <si>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</si>
  <si>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</si>
  <si>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</si>
  <si>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</si>
  <si>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</si>
  <si>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</si>
  <si>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</si>
  <si>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</si>
  <si>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</si>
  <si>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</si>
  <si>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</si>
  <si>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</si>
  <si>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</si>
  <si>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</si>
  <si>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</si>
  <si>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</si>
  <si>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</si>
  <si>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</si>
  <si>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</si>
  <si>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</si>
  <si>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</si>
  <si>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</si>
  <si>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</si>
  <si>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</si>
  <si>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</si>
  <si>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</si>
  <si>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</si>
  <si>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</si>
  <si>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</si>
  <si>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</si>
  <si>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</si>
  <si>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</si>
  <si>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</si>
  <si>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</si>
  <si>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</si>
  <si>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</si>
  <si>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</si>
  <si>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</si>
  <si>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</si>
  <si>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</si>
  <si>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</si>
  <si>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</si>
  <si>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</si>
  <si>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</si>
  <si>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</si>
  <si>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</si>
  <si>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</si>
  <si>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</si>
  <si>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</si>
  <si>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</si>
  <si>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</si>
  <si>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</si>
  <si>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</si>
  <si>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</si>
  <si>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</si>
  <si>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</si>
  <si>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</si>
  <si>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</si>
  <si>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</si>
  <si>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</si>
  <si>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</si>
  <si>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</si>
  <si>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</si>
  <si>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</si>
  <si>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</si>
  <si>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</si>
  <si>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</si>
  <si>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</si>
  <si>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</si>
  <si>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</si>
  <si>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</si>
  <si>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</si>
  <si>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</si>
  <si>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</si>
  <si>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</si>
  <si>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</si>
  <si>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</si>
  <si>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</si>
  <si>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</si>
  <si>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</si>
  <si>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</si>
  <si>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</si>
  <si>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</si>
  <si>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</si>
  <si>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</si>
  <si>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</si>
  <si>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</si>
  <si>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</si>
  <si>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</si>
  <si>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</si>
  <si>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</si>
  <si>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</si>
  <si>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</si>
  <si>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</si>
  <si>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</si>
  <si>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</si>
  <si>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</si>
  <si>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</si>
  <si>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</si>
  <si>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</si>
  <si>
    <t>Áætluð stækkun skammts – Grunnskóli vs Leikskóli</t>
  </si>
  <si>
    <t>Fjárheimild – Leikskóli (kr/dag)</t>
  </si>
  <si>
    <t>Fjárheimild – Grunnskóli (kr/dag)</t>
  </si>
  <si>
    <t>Hámark eins liðar (% af fjárheimild)</t>
  </si>
  <si>
    <t>Skráningarnúmer</t>
  </si>
  <si>
    <t>Bekkur/hópur</t>
  </si>
  <si>
    <t>Tegund viðburðar</t>
  </si>
  <si>
    <t>Skráð af (nafn/netfang)</t>
  </si>
  <si>
    <t>Skráningartími</t>
  </si>
  <si>
    <t>Staða</t>
  </si>
  <si>
    <t>Ferð</t>
  </si>
  <si>
    <t>Fyrir hverja</t>
  </si>
  <si>
    <t>Virkt</t>
  </si>
  <si>
    <t>Allir</t>
  </si>
  <si>
    <t>Bakkelsi (fundir/afmæli)</t>
  </si>
  <si>
    <t>Starfsfólk</t>
  </si>
  <si>
    <t>Annað – nánar tiltekið</t>
  </si>
  <si>
    <t>Allur skólinn</t>
  </si>
  <si>
    <t>Skertur dagur</t>
  </si>
  <si>
    <t>Hádegismatur</t>
  </si>
  <si>
    <t>Venjulegt</t>
  </si>
  <si>
    <t>Fellur niður</t>
  </si>
  <si>
    <t>Skipulagsdagur</t>
  </si>
  <si>
    <t>UPPBROTSVALMÖGULEIKAR — allur matur sem er í boði á uppbrotsdögum</t>
  </si>
  <si>
    <t>Lýsing</t>
  </si>
  <si>
    <t>Orka (kcal)</t>
  </si>
  <si>
    <t>Fita (g)</t>
  </si>
  <si>
    <t>Mettuð fita (g)</t>
  </si>
  <si>
    <t>Kolvetni (g)</t>
  </si>
  <si>
    <t>Prótein (g)</t>
  </si>
  <si>
    <t>Salt (g)</t>
  </si>
  <si>
    <t>Hentar máltíð</t>
  </si>
  <si>
    <t>Samloka — Skinka og ostur</t>
  </si>
  <si>
    <t>Ristað brauð, skinka, ostur</t>
  </si>
  <si>
    <t>**HVEITI** brauð, skinka, **MJÓLK** ostur, smjör</t>
  </si>
  <si>
    <t>Ferðanesti</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</si>
  <si>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</si>
  <si>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</si>
  <si>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</si>
  <si>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</si>
  <si>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</si>
  <si>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</si>
  <si>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</si>
  <si>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</si>
  <si>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</si>
  <si>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</si>
  <si>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</si>
  <si>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Kjötréttur dagsins</t>
  </si>
  <si>
    <t>Sjá Bjarna fyrir nánari útfærslu</t>
  </si>
  <si>
    <t>Grænmetisréttur dagsins</t>
  </si>
  <si>
    <t>UPPBROTSDAGAR — ferðir, skipulagsdagar, skertir dagar og aðrar breytingar frá skólum</t>
  </si>
  <si>
    <t>Manneskjutegund</t>
  </si>
  <si>
    <t>Réttur/staða</t>
  </si>
  <si>
    <t>Fjöldi</t>
  </si>
  <si>
    <t>Brottfarartími</t>
  </si>
  <si>
    <t>Blandaður hópur</t>
  </si>
  <si>
    <t>Nemendur</t>
  </si>
  <si>
    <t>Samloka — Skinka og ostur, Djús, Ávöxtur</t>
  </si>
  <si>
    <t>Morgunhressing</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</si>
  <si>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</si>
  <si>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</si>
  <si>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</si>
  <si>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</si>
  <si>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</si>
  <si>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</si>
  <si>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</si>
  <si>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</si>
  <si>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</si>
  <si>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</si>
  <si>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</si>
  <si>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</si>
  <si>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</si>
  <si>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</si>
  <si>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</si>
  <si>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</si>
  <si>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</si>
  <si>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</si>
  <si>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</si>
  <si>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</si>
  <si>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</si>
  <si>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</si>
  <si>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</si>
  <si>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</si>
  <si>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</si>
  <si>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0501bc43-1db8-47ee-ae0a-9bcb139accc8</t>
  </si>
  <si>
    <t>2026-07-30T18:16:53.4974872Z</t>
  </si>
  <si>
    <t>Staðfest</t>
  </si>
  <si>
    <t>9dbcc6be-fbe4-4af2-b39c-8198ea09d579</t>
  </si>
  <si>
    <t>2026-07-30T18:41:01.8341113Z</t>
  </si>
  <si>
    <t>54dbee54-5ef8-4bb7-900b-6678ab776fea</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</si>
  <si>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</si>
  <si>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</si>
  <si>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</si>
  <si>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</si>
  <si>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</si>
  <si>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</si>
  <si>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</si>
  <si>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</si>
  <si>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</si>
  <si>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</si>
  <si>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</si>
  <si>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</si>
  <si>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</si>
  <si>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</si>
  <si>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</si>
  <si>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</si>
  <si>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</si>
  <si>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</si>
  <si>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</si>
  <si>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</si>
  <si>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</si>
  <si>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</si>
  <si>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</si>
  <si>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</si>
  <si>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</si>
  <si>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</si>
  <si>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</si>
  <si>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</si>
  <si>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</si>
  <si>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</si>
  <si>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</si>
  <si>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</si>
  <si>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</si>
  <si>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Hafnað</t>
  </si>
  <si>
    <t>Flokkur (einn-af-mörgum val)</t>
  </si>
  <si>
    <t>Samlokur</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</si>
  <si>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</si>
  <si>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99f4e89f-5b16-4c5f-a0c4-39254dd4ed9b</t>
  </si>
  <si>
    <t>2026-07-30T19:36:04.8438046Z</t>
  </si>
  <si>
    <t>https://innnes.is/media/sbfefy14/309133_74089_309133.pdf</t>
  </si>
  <si>
    <t>Rose</t>
  </si>
  <si>
    <t xml:space="preserve">Úrbeinuð Kjúklingalæri,Rose Poultry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</si>
</sst>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cellXfs>
  <cellStyles count="3">
    <cellStyle name="Hyperlink" xfId="2" builtinId="8"/>
    <cellStyle name="Normal" xfId="0" builtinId="0"/>
    <cellStyle name="Normal 2" xfId="1" xr:uid="{39394BF1-9A01-447D-A284-E78C9B153B2F}"/>
  </cellStyles>
  <dxfs count="29">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8" dataDxfId="27">
  <autoFilter ref="A2:P29" xr:uid="{D1DE8D6E-3A0A-4250-9FD4-3CF33929826F}"/>
  <tableColumns count="16">
    <tableColumn id="1" xr3:uid="{1DEF543E-4F57-4677-9817-04BE14AB15F3}" name="Skráningarnúmer" dataDxfId="26"/>
    <tableColumn id="2" xr3:uid="{29DC54FB-620E-48DB-83D6-A2E9CBB41D56}" name="Dagsetning" dataDxfId="25"/>
    <tableColumn id="3" xr3:uid="{9907519C-5B44-40C4-93F8-80ECACDF9937}" name="Skóli" dataDxfId="24"/>
    <tableColumn id="4" xr3:uid="{A49FA941-62E2-4C25-A9CC-9048EF21736D}" name="Tegund viðburðar" dataDxfId="23"/>
    <tableColumn id="5" xr3:uid="{20FB9B1B-9946-4E79-8F40-BBFCF53C298B}" name="Annað – nánar tiltekið" dataDxfId="22"/>
    <tableColumn id="6" xr3:uid="{5B5BE01D-A47C-43AF-95BE-2F3B1438E8F8}" name="Bekkur/hópur" dataDxfId="21"/>
    <tableColumn id="7" xr3:uid="{A1923C2F-4096-43F2-B624-43F254405050}" name="Manneskjutegund" dataDxfId="20"/>
    <tableColumn id="8" xr3:uid="{653F7DEE-D287-451A-AE20-A4BF1755F127}" name="Máltíð" dataDxfId="19"/>
    <tableColumn id="9" xr3:uid="{399E836F-F899-409A-9B96-278F32247A97}" name="Réttur/staða" dataDxfId="18"/>
    <tableColumn id="10" xr3:uid="{3302EA22-A0BE-403C-8FCA-D0872FF907FF}" name="Fjöldi" dataDxfId="17"/>
    <tableColumn id="11" xr3:uid="{CAD089EC-07C1-4E54-B7B2-D7E459A7F14B}" name="Brottfarartími" dataDxfId="16"/>
    <tableColumn id="12" xr3:uid="{66055255-E775-4810-B08C-07F21175BB25}" name="Blandaður hópur" dataDxfId="15"/>
    <tableColumn id="13" xr3:uid="{117280F4-60DD-4DCD-8496-A1D0664463D4}" name="Athugasemd" dataDxfId="14"/>
    <tableColumn id="14" xr3:uid="{527E35E3-A757-4B17-89ED-724912A19B48}" name="Skráð af (nafn/netfang)" dataDxfId="13"/>
    <tableColumn id="15" xr3:uid="{19EEFAEC-18FB-4345-B3D6-CD3D4F2237AE}" name="Skráningartími" dataDxfId="12"/>
    <tableColumn id="16" xr3:uid="{86A8725C-543E-4C28-A94D-AFDD16EB9D51}" name="Staða" dataDxf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tabSelected="1" zoomScaleNormal="100" workbookViewId="0">
      <pane xSplit="1" ySplit="2" topLeftCell="L99" activePane="bottomRight" state="frozen"/>
      <selection pane="topRight" activeCell="B1" sqref="B1"/>
      <selection pane="bottomLeft" activeCell="A3" sqref="A3"/>
      <selection pane="bottomRight" activeCell="R113" sqref="R11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4193</v>
      </c>
      <c r="B88" s="304"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340" t="s">
        <v>4407</v>
      </c>
      <c r="B113" s="340" t="s">
        <v>4407</v>
      </c>
      <c r="C113" s="340" t="s">
        <v>4406</v>
      </c>
      <c r="D113" s="340">
        <v>309133</v>
      </c>
      <c r="E113" s="162" t="s">
        <v>126</v>
      </c>
      <c r="F113" s="340"/>
      <c r="G113" s="340"/>
      <c r="H113" s="341"/>
      <c r="I113" s="342" t="s">
        <v>4405</v>
      </c>
      <c r="J113" s="341"/>
      <c r="K113" s="343"/>
      <c r="L113" s="343"/>
      <c r="M113" s="343"/>
      <c r="N113" s="343"/>
      <c r="O113" s="343"/>
      <c r="P113" s="343"/>
      <c r="Q113" s="344"/>
      <c r="R113" s="4">
        <f>5878/2.5</f>
        <v>2351.1999999999998</v>
      </c>
      <c r="S113" s="340"/>
    </row>
    <row r="114" spans="1:19" ht="15" customHeight="1">
      <c r="A114" s="161" t="s">
        <v>592</v>
      </c>
      <c r="B114" s="161" t="s">
        <v>592</v>
      </c>
      <c r="C114" s="161" t="s">
        <v>158</v>
      </c>
      <c r="D114" s="161">
        <v>59401</v>
      </c>
      <c r="E114" s="161" t="s">
        <v>126</v>
      </c>
      <c r="F114" s="161" t="s">
        <v>593</v>
      </c>
      <c r="G114" s="161"/>
      <c r="H114" s="207"/>
      <c r="I114" s="87" t="s">
        <v>594</v>
      </c>
      <c r="J114" s="207">
        <v>110</v>
      </c>
      <c r="K114" s="208">
        <v>12</v>
      </c>
      <c r="L114" s="208">
        <v>6</v>
      </c>
      <c r="M114" s="208">
        <v>12</v>
      </c>
      <c r="N114" s="208">
        <v>0.6</v>
      </c>
      <c r="O114" s="208">
        <v>12</v>
      </c>
      <c r="P114" s="208">
        <v>1.6</v>
      </c>
      <c r="Q114" s="209"/>
      <c r="R114" s="4">
        <v>1800</v>
      </c>
      <c r="S114" s="161" t="s">
        <v>156</v>
      </c>
    </row>
    <row r="115" spans="1:19" ht="15" customHeight="1">
      <c r="A115" s="162" t="s">
        <v>595</v>
      </c>
      <c r="B115" s="162" t="s">
        <v>595</v>
      </c>
      <c r="C115" s="162" t="s">
        <v>596</v>
      </c>
      <c r="D115" s="162"/>
      <c r="E115" s="162" t="s">
        <v>519</v>
      </c>
      <c r="F115" s="162" t="s">
        <v>597</v>
      </c>
      <c r="G115" s="162" t="s">
        <v>598</v>
      </c>
      <c r="H115" s="212" t="s">
        <v>599</v>
      </c>
      <c r="I115" s="88" t="s">
        <v>600</v>
      </c>
      <c r="J115" s="212">
        <v>187</v>
      </c>
      <c r="K115" s="213">
        <v>5.3</v>
      </c>
      <c r="L115" s="213">
        <v>1.3</v>
      </c>
      <c r="M115" s="213">
        <v>23</v>
      </c>
      <c r="N115" s="213">
        <v>1.4</v>
      </c>
      <c r="O115" s="213">
        <v>12</v>
      </c>
      <c r="P115" s="213">
        <v>1.3</v>
      </c>
      <c r="Q115" s="214">
        <v>0.6</v>
      </c>
      <c r="R115" s="144">
        <v>800</v>
      </c>
      <c r="S115" s="162" t="s">
        <v>601</v>
      </c>
    </row>
    <row r="116" spans="1:19" ht="15" customHeight="1">
      <c r="A116" s="161" t="s">
        <v>602</v>
      </c>
      <c r="B116" s="161" t="s">
        <v>602</v>
      </c>
      <c r="C116" s="161" t="s">
        <v>596</v>
      </c>
      <c r="D116" s="161"/>
      <c r="E116" s="161" t="s">
        <v>519</v>
      </c>
      <c r="F116" s="161" t="s">
        <v>603</v>
      </c>
      <c r="G116" s="161" t="s">
        <v>205</v>
      </c>
      <c r="H116" s="207" t="s">
        <v>604</v>
      </c>
      <c r="I116" s="87" t="s">
        <v>605</v>
      </c>
      <c r="J116" s="207">
        <v>164</v>
      </c>
      <c r="K116" s="208">
        <v>3</v>
      </c>
      <c r="L116" s="208">
        <v>0.3</v>
      </c>
      <c r="M116" s="208">
        <v>23</v>
      </c>
      <c r="N116" s="208">
        <v>1.6</v>
      </c>
      <c r="O116" s="208">
        <v>11</v>
      </c>
      <c r="P116" s="208">
        <v>1.2</v>
      </c>
      <c r="Q116" s="209">
        <v>0.7</v>
      </c>
      <c r="R116" s="144">
        <v>800</v>
      </c>
      <c r="S116" s="161" t="s">
        <v>27</v>
      </c>
    </row>
    <row r="117" spans="1:19" ht="15" customHeight="1">
      <c r="A117" s="162" t="s">
        <v>606</v>
      </c>
      <c r="B117" s="162" t="s">
        <v>606</v>
      </c>
      <c r="C117" s="162" t="s">
        <v>607</v>
      </c>
      <c r="D117" s="162">
        <v>40138</v>
      </c>
      <c r="E117" s="162" t="s">
        <v>113</v>
      </c>
      <c r="F117" s="168" t="s">
        <v>608</v>
      </c>
      <c r="G117" s="162" t="s">
        <v>128</v>
      </c>
      <c r="H117" s="212"/>
      <c r="I117" s="88" t="s">
        <v>609</v>
      </c>
      <c r="J117" s="212">
        <v>78</v>
      </c>
      <c r="K117" s="213">
        <v>1.9</v>
      </c>
      <c r="L117" s="213">
        <v>0.3</v>
      </c>
      <c r="M117" s="213">
        <v>10</v>
      </c>
      <c r="N117" s="213">
        <v>8.3000000000000007</v>
      </c>
      <c r="O117" s="213">
        <v>3.8</v>
      </c>
      <c r="P117" s="213">
        <v>0.1</v>
      </c>
      <c r="Q117" s="214">
        <v>2.2999999999999998</v>
      </c>
      <c r="R117" s="144">
        <v>665</v>
      </c>
      <c r="S117" s="162" t="s">
        <v>610</v>
      </c>
    </row>
    <row r="118" spans="1:19" ht="15" customHeight="1">
      <c r="A118" s="161" t="s">
        <v>611</v>
      </c>
      <c r="B118" s="161" t="s">
        <v>611</v>
      </c>
      <c r="C118" s="161" t="s">
        <v>607</v>
      </c>
      <c r="D118" s="161">
        <v>40135</v>
      </c>
      <c r="E118" s="161" t="s">
        <v>113</v>
      </c>
      <c r="F118" s="168" t="s">
        <v>612</v>
      </c>
      <c r="G118" s="161" t="s">
        <v>128</v>
      </c>
      <c r="H118" s="207"/>
      <c r="I118" s="87" t="s">
        <v>613</v>
      </c>
      <c r="J118" s="207">
        <v>83</v>
      </c>
      <c r="K118" s="208">
        <v>1.8</v>
      </c>
      <c r="L118" s="208">
        <v>0.2</v>
      </c>
      <c r="M118" s="208">
        <v>12</v>
      </c>
      <c r="N118" s="208">
        <v>10</v>
      </c>
      <c r="O118" s="208">
        <v>3.6</v>
      </c>
      <c r="P118" s="208">
        <v>0.1</v>
      </c>
      <c r="Q118" s="209">
        <v>2.1</v>
      </c>
      <c r="R118" s="144">
        <v>665</v>
      </c>
      <c r="S118" s="161" t="s">
        <v>610</v>
      </c>
    </row>
    <row r="119" spans="1:19" ht="15" customHeight="1">
      <c r="A119" s="162" t="s">
        <v>614</v>
      </c>
      <c r="B119" s="162" t="s">
        <v>614</v>
      </c>
      <c r="C119" s="162" t="s">
        <v>596</v>
      </c>
      <c r="D119" s="162"/>
      <c r="E119" s="162" t="s">
        <v>106</v>
      </c>
      <c r="F119" s="162" t="s">
        <v>615</v>
      </c>
      <c r="G119" s="162" t="s">
        <v>108</v>
      </c>
      <c r="H119" s="212"/>
      <c r="I119" s="88" t="s">
        <v>616</v>
      </c>
      <c r="J119" s="212">
        <v>45</v>
      </c>
      <c r="K119" s="213">
        <v>2</v>
      </c>
      <c r="L119" s="213">
        <v>1.1000000000000001</v>
      </c>
      <c r="M119" s="213">
        <v>4.9000000000000004</v>
      </c>
      <c r="N119" s="213">
        <v>1.6</v>
      </c>
      <c r="O119" s="213">
        <v>1.9</v>
      </c>
      <c r="P119" s="213">
        <v>0.1</v>
      </c>
      <c r="Q119" s="214">
        <v>0</v>
      </c>
      <c r="R119" s="144">
        <v>400</v>
      </c>
      <c r="S119" s="162" t="s">
        <v>161</v>
      </c>
    </row>
    <row r="120" spans="1:19" ht="15" customHeight="1">
      <c r="A120" s="161" t="s">
        <v>617</v>
      </c>
      <c r="B120" s="161" t="s">
        <v>617</v>
      </c>
      <c r="C120" s="161" t="s">
        <v>596</v>
      </c>
      <c r="D120" s="161"/>
      <c r="E120" s="161" t="s">
        <v>106</v>
      </c>
      <c r="F120" s="161" t="s">
        <v>618</v>
      </c>
      <c r="G120" s="161" t="s">
        <v>108</v>
      </c>
      <c r="H120" s="207"/>
      <c r="I120" s="87" t="s">
        <v>619</v>
      </c>
      <c r="J120" s="207">
        <v>48</v>
      </c>
      <c r="K120" s="208">
        <v>2</v>
      </c>
      <c r="L120" s="208">
        <v>1.1000000000000001</v>
      </c>
      <c r="M120" s="208">
        <v>5.7</v>
      </c>
      <c r="N120" s="208">
        <v>2.5</v>
      </c>
      <c r="O120" s="208">
        <v>1.9</v>
      </c>
      <c r="P120" s="208">
        <v>0.1</v>
      </c>
      <c r="Q120" s="209">
        <v>0</v>
      </c>
      <c r="R120" s="144">
        <v>400</v>
      </c>
      <c r="S120" s="161" t="s">
        <v>161</v>
      </c>
    </row>
    <row r="121" spans="1:19" ht="15" customHeight="1">
      <c r="A121" s="162" t="s">
        <v>620</v>
      </c>
      <c r="B121" s="162" t="s">
        <v>620</v>
      </c>
      <c r="C121" s="162" t="s">
        <v>223</v>
      </c>
      <c r="D121" s="162" t="s">
        <v>621</v>
      </c>
      <c r="E121" s="162" t="s">
        <v>514</v>
      </c>
      <c r="F121" s="162" t="s">
        <v>622</v>
      </c>
      <c r="G121" s="162"/>
      <c r="H121" s="212"/>
      <c r="I121" s="88" t="s">
        <v>623</v>
      </c>
      <c r="J121" s="212">
        <v>23</v>
      </c>
      <c r="K121" s="213">
        <v>0.3</v>
      </c>
      <c r="L121" s="213">
        <v>0.1</v>
      </c>
      <c r="M121" s="213">
        <v>3.3</v>
      </c>
      <c r="N121" s="213">
        <v>3</v>
      </c>
      <c r="O121" s="213">
        <v>1</v>
      </c>
      <c r="P121" s="213">
        <v>0</v>
      </c>
      <c r="Q121" s="214">
        <v>1.3</v>
      </c>
      <c r="R121" s="144">
        <v>400</v>
      </c>
      <c r="S121" s="162" t="s">
        <v>624</v>
      </c>
    </row>
    <row r="122" spans="1:19" ht="15" customHeight="1">
      <c r="A122" s="161" t="s">
        <v>625</v>
      </c>
      <c r="B122" s="161" t="s">
        <v>625</v>
      </c>
      <c r="C122" s="161" t="s">
        <v>223</v>
      </c>
      <c r="D122" s="161" t="s">
        <v>626</v>
      </c>
      <c r="E122" s="161" t="s">
        <v>514</v>
      </c>
      <c r="F122" s="161" t="s">
        <v>627</v>
      </c>
      <c r="G122" s="161"/>
      <c r="H122" s="207"/>
      <c r="I122" s="87" t="s">
        <v>628</v>
      </c>
      <c r="J122" s="207">
        <v>57</v>
      </c>
      <c r="K122" s="208">
        <v>2.4</v>
      </c>
      <c r="L122" s="208">
        <v>0.5</v>
      </c>
      <c r="M122" s="208">
        <v>5.2</v>
      </c>
      <c r="N122" s="208">
        <v>3.8</v>
      </c>
      <c r="O122" s="208">
        <v>2</v>
      </c>
      <c r="P122" s="208">
        <v>0.2</v>
      </c>
      <c r="Q122" s="209">
        <v>3.1</v>
      </c>
      <c r="R122" s="144">
        <v>400</v>
      </c>
      <c r="S122" s="161" t="s">
        <v>368</v>
      </c>
    </row>
    <row r="123" spans="1:19" ht="15" customHeight="1">
      <c r="A123" s="162" t="s">
        <v>629</v>
      </c>
      <c r="B123" s="162" t="s">
        <v>629</v>
      </c>
      <c r="C123" s="162" t="s">
        <v>630</v>
      </c>
      <c r="D123" s="162">
        <v>10000087</v>
      </c>
      <c r="E123" s="162" t="s">
        <v>514</v>
      </c>
      <c r="F123" s="162" t="s">
        <v>631</v>
      </c>
      <c r="G123" s="162"/>
      <c r="H123" s="212"/>
      <c r="I123" s="88" t="s">
        <v>632</v>
      </c>
      <c r="J123" s="212">
        <v>30</v>
      </c>
      <c r="K123" s="213">
        <v>0.4</v>
      </c>
      <c r="L123" s="213">
        <v>0.1</v>
      </c>
      <c r="M123" s="213">
        <v>4.4000000000000004</v>
      </c>
      <c r="N123" s="213">
        <v>4.2</v>
      </c>
      <c r="O123" s="213">
        <v>0.6</v>
      </c>
      <c r="P123" s="213">
        <v>0.1</v>
      </c>
      <c r="Q123" s="214">
        <v>3.2</v>
      </c>
      <c r="R123" s="144">
        <v>400</v>
      </c>
      <c r="S123" s="162" t="s">
        <v>633</v>
      </c>
    </row>
    <row r="124" spans="1:19" ht="15" customHeight="1">
      <c r="A124" s="161" t="s">
        <v>634</v>
      </c>
      <c r="B124" s="161" t="s">
        <v>634</v>
      </c>
      <c r="C124" s="161" t="s">
        <v>223</v>
      </c>
      <c r="D124" s="161" t="s">
        <v>635</v>
      </c>
      <c r="E124" s="161" t="s">
        <v>514</v>
      </c>
      <c r="F124" s="161" t="s">
        <v>631</v>
      </c>
      <c r="G124" s="161"/>
      <c r="H124" s="207"/>
      <c r="I124" s="87" t="s">
        <v>636</v>
      </c>
      <c r="J124" s="207">
        <v>28</v>
      </c>
      <c r="K124" s="208">
        <v>0.4</v>
      </c>
      <c r="L124" s="208">
        <v>0.1</v>
      </c>
      <c r="M124" s="208">
        <v>4.3</v>
      </c>
      <c r="N124" s="208">
        <v>4.0999999999999996</v>
      </c>
      <c r="O124" s="208">
        <v>0.6</v>
      </c>
      <c r="P124" s="208">
        <v>0.1</v>
      </c>
      <c r="Q124" s="209">
        <v>2.2999999999999998</v>
      </c>
      <c r="R124" s="144">
        <v>400</v>
      </c>
      <c r="S124" s="161" t="s">
        <v>637</v>
      </c>
    </row>
    <row r="125" spans="1:19" ht="15" customHeight="1">
      <c r="A125" s="162" t="s">
        <v>638</v>
      </c>
      <c r="B125" s="162" t="s">
        <v>638</v>
      </c>
      <c r="C125" s="162" t="s">
        <v>223</v>
      </c>
      <c r="D125" s="162" t="s">
        <v>639</v>
      </c>
      <c r="E125" s="162" t="s">
        <v>514</v>
      </c>
      <c r="F125" s="162" t="s">
        <v>640</v>
      </c>
      <c r="G125" s="162"/>
      <c r="H125" s="212"/>
      <c r="I125" s="88" t="s">
        <v>641</v>
      </c>
      <c r="J125" s="212">
        <v>28</v>
      </c>
      <c r="K125" s="213">
        <v>0.4</v>
      </c>
      <c r="L125" s="213">
        <v>0.1</v>
      </c>
      <c r="M125" s="213">
        <v>4.5</v>
      </c>
      <c r="N125" s="213">
        <v>4.3</v>
      </c>
      <c r="O125" s="213">
        <v>0.9</v>
      </c>
      <c r="P125" s="213">
        <v>0</v>
      </c>
      <c r="Q125" s="214">
        <v>1.6</v>
      </c>
      <c r="R125" s="144">
        <v>400</v>
      </c>
      <c r="S125" s="162" t="s">
        <v>492</v>
      </c>
    </row>
    <row r="126" spans="1:19" ht="15" customHeight="1">
      <c r="A126" s="79" t="s">
        <v>642</v>
      </c>
      <c r="B126" s="79" t="s">
        <v>642</v>
      </c>
      <c r="C126" s="161" t="s">
        <v>643</v>
      </c>
      <c r="D126" s="161">
        <v>3545</v>
      </c>
      <c r="E126" s="161" t="s">
        <v>233</v>
      </c>
      <c r="F126" s="161" t="s">
        <v>644</v>
      </c>
      <c r="G126" s="161"/>
      <c r="H126" s="207"/>
      <c r="I126" s="87" t="s">
        <v>645</v>
      </c>
      <c r="J126" s="207">
        <v>28</v>
      </c>
      <c r="K126" s="208">
        <v>0.1</v>
      </c>
      <c r="L126" s="208">
        <v>0</v>
      </c>
      <c r="M126" s="208">
        <v>5</v>
      </c>
      <c r="N126" s="208">
        <v>3.4</v>
      </c>
      <c r="O126" s="208">
        <v>1.5</v>
      </c>
      <c r="P126" s="208">
        <v>0</v>
      </c>
      <c r="Q126" s="209"/>
      <c r="R126" s="4">
        <v>536</v>
      </c>
      <c r="S126" s="161" t="s">
        <v>443</v>
      </c>
    </row>
    <row r="127" spans="1:19" ht="15" customHeight="1">
      <c r="A127" s="162" t="s">
        <v>646</v>
      </c>
      <c r="B127" s="162" t="s">
        <v>646</v>
      </c>
      <c r="C127" s="162" t="s">
        <v>223</v>
      </c>
      <c r="D127" s="162">
        <v>776</v>
      </c>
      <c r="E127" s="162" t="s">
        <v>647</v>
      </c>
      <c r="F127" s="162" t="s">
        <v>648</v>
      </c>
      <c r="G127" s="162"/>
      <c r="H127" s="212"/>
      <c r="I127" s="88" t="s">
        <v>649</v>
      </c>
      <c r="J127" s="212">
        <v>60</v>
      </c>
      <c r="K127" s="213">
        <v>2.8</v>
      </c>
      <c r="L127" s="213">
        <v>0.4</v>
      </c>
      <c r="M127" s="213">
        <v>4.8</v>
      </c>
      <c r="N127" s="213">
        <v>2.9</v>
      </c>
      <c r="O127" s="213">
        <v>2.2000000000000002</v>
      </c>
      <c r="P127" s="213">
        <v>0</v>
      </c>
      <c r="Q127" s="214">
        <v>3</v>
      </c>
      <c r="R127" s="144">
        <v>400</v>
      </c>
      <c r="S127" s="162" t="s">
        <v>624</v>
      </c>
    </row>
    <row r="128" spans="1:19" ht="15" customHeight="1">
      <c r="A128" s="161" t="s">
        <v>650</v>
      </c>
      <c r="B128" s="161" t="s">
        <v>650</v>
      </c>
      <c r="C128" s="161" t="s">
        <v>364</v>
      </c>
      <c r="D128" s="161">
        <v>310876</v>
      </c>
      <c r="E128" s="161" t="s">
        <v>514</v>
      </c>
      <c r="F128" s="161" t="s">
        <v>651</v>
      </c>
      <c r="G128" s="161"/>
      <c r="H128" s="207"/>
      <c r="I128" s="87" t="s">
        <v>652</v>
      </c>
      <c r="J128" s="207">
        <v>141</v>
      </c>
      <c r="K128" s="208">
        <v>4.7</v>
      </c>
      <c r="L128" s="208">
        <v>0.6</v>
      </c>
      <c r="M128" s="208">
        <v>21</v>
      </c>
      <c r="N128" s="208">
        <v>11</v>
      </c>
      <c r="O128" s="208">
        <v>1.7</v>
      </c>
      <c r="P128" s="208">
        <v>0.1</v>
      </c>
      <c r="Q128" s="209">
        <v>3.7</v>
      </c>
      <c r="R128" s="144">
        <v>400</v>
      </c>
      <c r="S128" s="161" t="s">
        <v>459</v>
      </c>
    </row>
    <row r="129" spans="1:19" ht="15" customHeight="1">
      <c r="A129" s="162" t="s">
        <v>653</v>
      </c>
      <c r="B129" s="162" t="s">
        <v>653</v>
      </c>
      <c r="C129" s="162" t="s">
        <v>248</v>
      </c>
      <c r="D129" s="162">
        <v>310004</v>
      </c>
      <c r="E129" s="162" t="s">
        <v>249</v>
      </c>
      <c r="F129" s="162" t="s">
        <v>654</v>
      </c>
      <c r="G129" s="162" t="s">
        <v>133</v>
      </c>
      <c r="H129" s="212"/>
      <c r="I129" s="88" t="s">
        <v>655</v>
      </c>
      <c r="J129" s="212">
        <v>557</v>
      </c>
      <c r="K129" s="213">
        <v>60</v>
      </c>
      <c r="L129" s="213">
        <v>3.9</v>
      </c>
      <c r="M129" s="213">
        <v>5.4</v>
      </c>
      <c r="N129" s="213">
        <v>3.6</v>
      </c>
      <c r="O129" s="213"/>
      <c r="P129" s="213">
        <v>1.2</v>
      </c>
      <c r="Q129" s="214"/>
      <c r="R129" s="4">
        <v>1800</v>
      </c>
      <c r="S129" s="162" t="s">
        <v>256</v>
      </c>
    </row>
    <row r="130" spans="1:19" ht="15" customHeight="1">
      <c r="A130" s="161" t="s">
        <v>656</v>
      </c>
      <c r="B130" s="161" t="s">
        <v>656</v>
      </c>
      <c r="C130" s="161" t="s">
        <v>248</v>
      </c>
      <c r="D130" s="161">
        <v>310002</v>
      </c>
      <c r="E130" s="161" t="s">
        <v>249</v>
      </c>
      <c r="F130" s="161" t="s">
        <v>657</v>
      </c>
      <c r="G130" s="161" t="s">
        <v>133</v>
      </c>
      <c r="H130" s="207"/>
      <c r="I130" s="87" t="s">
        <v>658</v>
      </c>
      <c r="J130" s="207">
        <v>574</v>
      </c>
      <c r="K130" s="208">
        <v>62</v>
      </c>
      <c r="L130" s="208">
        <v>4.0999999999999996</v>
      </c>
      <c r="M130" s="208">
        <v>5.4</v>
      </c>
      <c r="N130" s="208">
        <v>3</v>
      </c>
      <c r="O130" s="208"/>
      <c r="P130" s="208">
        <v>2.4</v>
      </c>
      <c r="Q130" s="209"/>
      <c r="R130" s="4">
        <v>1800</v>
      </c>
      <c r="S130" s="161" t="s">
        <v>260</v>
      </c>
    </row>
    <row r="131" spans="1:19" ht="15" customHeight="1">
      <c r="A131" s="162" t="s">
        <v>659</v>
      </c>
      <c r="B131" s="162" t="s">
        <v>659</v>
      </c>
      <c r="C131" s="162" t="s">
        <v>248</v>
      </c>
      <c r="D131" s="162">
        <v>310003</v>
      </c>
      <c r="E131" s="162" t="s">
        <v>249</v>
      </c>
      <c r="F131" s="162" t="s">
        <v>660</v>
      </c>
      <c r="G131" s="162" t="s">
        <v>133</v>
      </c>
      <c r="H131" s="212"/>
      <c r="I131" s="88" t="s">
        <v>661</v>
      </c>
      <c r="J131" s="212">
        <v>400</v>
      </c>
      <c r="K131" s="213">
        <v>40</v>
      </c>
      <c r="L131" s="213">
        <v>2.6</v>
      </c>
      <c r="M131" s="213">
        <v>11</v>
      </c>
      <c r="N131" s="213">
        <v>8.4</v>
      </c>
      <c r="O131" s="213"/>
      <c r="P131" s="213">
        <v>0.9</v>
      </c>
      <c r="Q131" s="214"/>
      <c r="R131" s="4">
        <v>2500</v>
      </c>
      <c r="S131" s="162" t="s">
        <v>260</v>
      </c>
    </row>
    <row r="132" spans="1:19" ht="15" customHeight="1">
      <c r="A132" s="161" t="s">
        <v>662</v>
      </c>
      <c r="B132" s="161" t="s">
        <v>662</v>
      </c>
      <c r="C132" s="161" t="s">
        <v>231</v>
      </c>
      <c r="D132" s="161" t="s">
        <v>663</v>
      </c>
      <c r="E132" s="161" t="s">
        <v>249</v>
      </c>
      <c r="F132" s="161" t="s">
        <v>664</v>
      </c>
      <c r="G132" s="161"/>
      <c r="H132" s="207" t="s">
        <v>665</v>
      </c>
      <c r="I132" s="87" t="s">
        <v>666</v>
      </c>
      <c r="J132" s="207">
        <v>97</v>
      </c>
      <c r="K132" s="208">
        <v>0.1</v>
      </c>
      <c r="L132" s="208">
        <v>0</v>
      </c>
      <c r="M132" s="208">
        <v>21.5</v>
      </c>
      <c r="N132" s="208">
        <v>18.2</v>
      </c>
      <c r="O132" s="208">
        <v>1.2</v>
      </c>
      <c r="P132" s="208">
        <v>2.5</v>
      </c>
      <c r="Q132" s="209"/>
      <c r="R132" s="4">
        <v>500</v>
      </c>
      <c r="S132" s="161" t="s">
        <v>667</v>
      </c>
    </row>
    <row r="133" spans="1:19" ht="15" customHeight="1">
      <c r="A133" s="162" t="s">
        <v>668</v>
      </c>
      <c r="B133" s="162" t="s">
        <v>668</v>
      </c>
      <c r="C133" s="162" t="s">
        <v>231</v>
      </c>
      <c r="D133" s="162" t="s">
        <v>669</v>
      </c>
      <c r="E133" s="162" t="s">
        <v>249</v>
      </c>
      <c r="F133" s="162" t="s">
        <v>670</v>
      </c>
      <c r="G133" s="162" t="s">
        <v>671</v>
      </c>
      <c r="H133" s="212" t="s">
        <v>672</v>
      </c>
      <c r="I133" s="88" t="s">
        <v>673</v>
      </c>
      <c r="J133" s="212">
        <v>628</v>
      </c>
      <c r="K133" s="213">
        <v>70</v>
      </c>
      <c r="L133" s="213">
        <v>5.2</v>
      </c>
      <c r="M133" s="213">
        <v>1.6</v>
      </c>
      <c r="N133" s="213">
        <v>0.9</v>
      </c>
      <c r="O133" s="213"/>
      <c r="P133" s="213">
        <v>0.5</v>
      </c>
      <c r="Q133" s="214"/>
      <c r="R133" s="4">
        <v>2500</v>
      </c>
      <c r="S133" s="162" t="s">
        <v>674</v>
      </c>
    </row>
    <row r="134" spans="1:19" ht="15" customHeight="1">
      <c r="A134" s="161" t="s">
        <v>675</v>
      </c>
      <c r="B134" s="161" t="s">
        <v>675</v>
      </c>
      <c r="C134" s="161" t="s">
        <v>676</v>
      </c>
      <c r="D134" s="161">
        <v>296353</v>
      </c>
      <c r="E134" s="161" t="s">
        <v>249</v>
      </c>
      <c r="F134" s="161" t="s">
        <v>677</v>
      </c>
      <c r="G134" s="161"/>
      <c r="H134" s="207"/>
      <c r="I134" s="87" t="s">
        <v>678</v>
      </c>
      <c r="J134" s="207">
        <v>478</v>
      </c>
      <c r="K134" s="208">
        <v>29.4</v>
      </c>
      <c r="L134" s="208">
        <v>12.7</v>
      </c>
      <c r="M134" s="208">
        <v>47</v>
      </c>
      <c r="N134" s="208">
        <v>19.399999999999999</v>
      </c>
      <c r="O134" s="208">
        <v>4.8</v>
      </c>
      <c r="P134" s="208">
        <v>9.4</v>
      </c>
      <c r="Q134" s="209">
        <v>3.3</v>
      </c>
      <c r="R134" s="144">
        <v>600</v>
      </c>
      <c r="S134" s="161" t="s">
        <v>362</v>
      </c>
    </row>
    <row r="135" spans="1:19" ht="15" customHeight="1">
      <c r="A135" s="162" t="s">
        <v>679</v>
      </c>
      <c r="B135" s="162" t="s">
        <v>679</v>
      </c>
      <c r="C135" s="162" t="s">
        <v>680</v>
      </c>
      <c r="D135" s="162" t="s">
        <v>681</v>
      </c>
      <c r="E135" s="162" t="s">
        <v>249</v>
      </c>
      <c r="F135" s="162" t="s">
        <v>682</v>
      </c>
      <c r="G135" s="162" t="s">
        <v>121</v>
      </c>
      <c r="H135" s="212"/>
      <c r="I135" s="88" t="s">
        <v>683</v>
      </c>
      <c r="J135" s="212">
        <v>361</v>
      </c>
      <c r="K135" s="213">
        <v>8.6</v>
      </c>
      <c r="L135" s="213">
        <v>3.6</v>
      </c>
      <c r="M135" s="213">
        <v>65.3</v>
      </c>
      <c r="N135" s="213">
        <v>4</v>
      </c>
      <c r="O135" s="213">
        <v>5.6</v>
      </c>
      <c r="P135" s="213">
        <v>11.3</v>
      </c>
      <c r="Q135" s="214">
        <v>0.3</v>
      </c>
      <c r="R135" s="144">
        <v>600</v>
      </c>
      <c r="S135" s="162" t="s">
        <v>265</v>
      </c>
    </row>
    <row r="136" spans="1:19" ht="15" customHeight="1">
      <c r="A136" s="161" t="s">
        <v>684</v>
      </c>
      <c r="B136" s="161" t="s">
        <v>684</v>
      </c>
      <c r="C136" s="161" t="s">
        <v>680</v>
      </c>
      <c r="D136" s="161" t="s">
        <v>685</v>
      </c>
      <c r="E136" s="161" t="s">
        <v>249</v>
      </c>
      <c r="F136" s="161" t="s">
        <v>686</v>
      </c>
      <c r="G136" s="161"/>
      <c r="H136" s="207"/>
      <c r="I136" s="87" t="s">
        <v>687</v>
      </c>
      <c r="J136" s="207">
        <v>278</v>
      </c>
      <c r="K136" s="208">
        <v>1.3</v>
      </c>
      <c r="L136" s="208">
        <v>0.1</v>
      </c>
      <c r="M136" s="208">
        <v>52.6</v>
      </c>
      <c r="N136" s="208">
        <v>36.5</v>
      </c>
      <c r="O136" s="208">
        <v>13.8</v>
      </c>
      <c r="P136" s="208">
        <v>27</v>
      </c>
      <c r="Q136" s="209">
        <v>0.4</v>
      </c>
      <c r="R136" s="144">
        <v>600</v>
      </c>
      <c r="S136" s="161" t="s">
        <v>295</v>
      </c>
    </row>
    <row r="137" spans="1:19" ht="15" customHeight="1">
      <c r="A137" s="161" t="s">
        <v>688</v>
      </c>
      <c r="B137" s="161" t="s">
        <v>688</v>
      </c>
      <c r="C137" s="161" t="s">
        <v>217</v>
      </c>
      <c r="D137" s="161"/>
      <c r="E137" s="161" t="s">
        <v>519</v>
      </c>
      <c r="F137" s="161" t="s">
        <v>689</v>
      </c>
      <c r="G137" s="161"/>
      <c r="H137" s="207"/>
      <c r="I137" s="87" t="s">
        <v>690</v>
      </c>
      <c r="J137" s="207">
        <v>40</v>
      </c>
      <c r="K137" s="208">
        <v>1</v>
      </c>
      <c r="L137" s="208">
        <v>0.3</v>
      </c>
      <c r="M137" s="208">
        <v>6.6</v>
      </c>
      <c r="N137" s="208">
        <v>4.5</v>
      </c>
      <c r="O137" s="208">
        <v>0.5</v>
      </c>
      <c r="P137" s="208">
        <v>0.8</v>
      </c>
      <c r="Q137" s="209"/>
      <c r="R137" s="4">
        <v>1200</v>
      </c>
      <c r="S137" s="161" t="s">
        <v>691</v>
      </c>
    </row>
    <row r="138" spans="1:19" ht="15" customHeight="1">
      <c r="A138" s="162" t="s">
        <v>692</v>
      </c>
      <c r="B138" s="162" t="s">
        <v>692</v>
      </c>
      <c r="C138" s="162" t="s">
        <v>274</v>
      </c>
      <c r="D138" s="162">
        <v>35061</v>
      </c>
      <c r="E138" s="162" t="s">
        <v>275</v>
      </c>
      <c r="F138" s="162" t="s">
        <v>693</v>
      </c>
      <c r="G138" s="162"/>
      <c r="H138" s="212" t="s">
        <v>277</v>
      </c>
      <c r="I138" s="88" t="s">
        <v>694</v>
      </c>
      <c r="J138" s="212">
        <v>243</v>
      </c>
      <c r="K138" s="213">
        <v>1.2</v>
      </c>
      <c r="L138" s="213">
        <v>0.4</v>
      </c>
      <c r="M138" s="213">
        <v>81</v>
      </c>
      <c r="N138" s="213">
        <v>2.2000000000000002</v>
      </c>
      <c r="O138" s="213">
        <v>4</v>
      </c>
      <c r="P138" s="213">
        <v>0</v>
      </c>
      <c r="Q138" s="214"/>
      <c r="R138" s="7">
        <v>5499</v>
      </c>
      <c r="S138" s="162" t="s">
        <v>429</v>
      </c>
    </row>
    <row r="139" spans="1:19" ht="15" customHeight="1">
      <c r="A139" s="161" t="s">
        <v>695</v>
      </c>
      <c r="B139" s="161" t="s">
        <v>695</v>
      </c>
      <c r="C139" s="161" t="s">
        <v>274</v>
      </c>
      <c r="D139" s="161">
        <v>35004</v>
      </c>
      <c r="E139" s="161" t="s">
        <v>275</v>
      </c>
      <c r="F139" s="161" t="s">
        <v>696</v>
      </c>
      <c r="G139" s="161"/>
      <c r="H139" s="207" t="s">
        <v>277</v>
      </c>
      <c r="I139" s="87" t="s">
        <v>697</v>
      </c>
      <c r="J139" s="207">
        <v>353</v>
      </c>
      <c r="K139" s="208">
        <v>8.4</v>
      </c>
      <c r="L139" s="208">
        <v>2.2999999999999998</v>
      </c>
      <c r="M139" s="208">
        <v>49</v>
      </c>
      <c r="N139" s="208">
        <v>0</v>
      </c>
      <c r="O139" s="208">
        <v>7.6</v>
      </c>
      <c r="P139" s="208">
        <v>0.1</v>
      </c>
      <c r="Q139" s="209"/>
      <c r="R139" s="7">
        <v>17095</v>
      </c>
      <c r="S139" s="161" t="s">
        <v>279</v>
      </c>
    </row>
    <row r="140" spans="1:19" ht="15" customHeight="1">
      <c r="A140" s="162" t="s">
        <v>698</v>
      </c>
      <c r="B140" s="162" t="s">
        <v>698</v>
      </c>
      <c r="C140" s="162" t="s">
        <v>274</v>
      </c>
      <c r="D140" s="162">
        <v>35063</v>
      </c>
      <c r="E140" s="162" t="s">
        <v>275</v>
      </c>
      <c r="F140" s="162" t="s">
        <v>699</v>
      </c>
      <c r="G140" s="162"/>
      <c r="H140" s="212" t="s">
        <v>277</v>
      </c>
      <c r="I140" s="88" t="s">
        <v>700</v>
      </c>
      <c r="J140" s="212">
        <v>535</v>
      </c>
      <c r="K140" s="213">
        <v>36</v>
      </c>
      <c r="L140" s="213">
        <v>26</v>
      </c>
      <c r="M140" s="213">
        <v>45</v>
      </c>
      <c r="N140" s="213">
        <v>23</v>
      </c>
      <c r="O140" s="213">
        <v>5.8</v>
      </c>
      <c r="P140" s="213">
        <v>0.1</v>
      </c>
      <c r="Q140" s="214"/>
      <c r="R140" s="7">
        <v>3617</v>
      </c>
      <c r="S140" s="162" t="s">
        <v>429</v>
      </c>
    </row>
    <row r="141" spans="1:19" ht="15" customHeight="1">
      <c r="A141" s="161" t="s">
        <v>701</v>
      </c>
      <c r="B141" s="161" t="s">
        <v>701</v>
      </c>
      <c r="C141" s="161" t="s">
        <v>274</v>
      </c>
      <c r="D141" s="161">
        <v>35101</v>
      </c>
      <c r="E141" s="161" t="s">
        <v>275</v>
      </c>
      <c r="F141" s="161" t="s">
        <v>702</v>
      </c>
      <c r="G141" s="161"/>
      <c r="H141" s="207" t="s">
        <v>277</v>
      </c>
      <c r="I141" s="87" t="s">
        <v>703</v>
      </c>
      <c r="J141" s="207">
        <v>480</v>
      </c>
      <c r="K141" s="208">
        <v>10</v>
      </c>
      <c r="L141" s="208">
        <v>2.7</v>
      </c>
      <c r="M141" s="208">
        <v>64</v>
      </c>
      <c r="N141" s="208">
        <v>4.0999999999999996</v>
      </c>
      <c r="O141" s="208">
        <v>11</v>
      </c>
      <c r="P141" s="208">
        <v>0</v>
      </c>
      <c r="Q141" s="209"/>
      <c r="R141" s="7">
        <v>9856</v>
      </c>
      <c r="S141" s="161" t="s">
        <v>279</v>
      </c>
    </row>
    <row r="142" spans="1:19" ht="15" customHeight="1">
      <c r="A142" s="162" t="s">
        <v>704</v>
      </c>
      <c r="B142" s="162" t="s">
        <v>704</v>
      </c>
      <c r="C142" s="162" t="s">
        <v>274</v>
      </c>
      <c r="D142" s="162">
        <v>32004</v>
      </c>
      <c r="E142" s="162" t="s">
        <v>275</v>
      </c>
      <c r="F142" s="162" t="s">
        <v>705</v>
      </c>
      <c r="G142" s="162"/>
      <c r="H142" s="212" t="s">
        <v>277</v>
      </c>
      <c r="I142" s="88" t="s">
        <v>706</v>
      </c>
      <c r="J142" s="212">
        <v>386</v>
      </c>
      <c r="K142" s="213">
        <v>3.3</v>
      </c>
      <c r="L142" s="213">
        <v>1</v>
      </c>
      <c r="M142" s="213">
        <v>65</v>
      </c>
      <c r="N142" s="213">
        <v>0.6</v>
      </c>
      <c r="O142" s="213">
        <v>11</v>
      </c>
      <c r="P142" s="213">
        <v>0.1</v>
      </c>
      <c r="Q142" s="214"/>
      <c r="R142" s="7">
        <v>7000</v>
      </c>
      <c r="S142" s="162" t="s">
        <v>429</v>
      </c>
    </row>
    <row r="143" spans="1:19" ht="15" customHeight="1">
      <c r="A143" s="161" t="s">
        <v>707</v>
      </c>
      <c r="B143" s="161" t="s">
        <v>707</v>
      </c>
      <c r="C143" s="161" t="s">
        <v>274</v>
      </c>
      <c r="D143" s="161">
        <v>35031</v>
      </c>
      <c r="E143" s="161" t="s">
        <v>275</v>
      </c>
      <c r="F143" s="161" t="s">
        <v>708</v>
      </c>
      <c r="G143" s="161"/>
      <c r="H143" s="207" t="s">
        <v>277</v>
      </c>
      <c r="I143" s="87" t="s">
        <v>709</v>
      </c>
      <c r="J143" s="207">
        <v>285</v>
      </c>
      <c r="K143" s="208">
        <v>7.4</v>
      </c>
      <c r="L143" s="208">
        <v>2.7</v>
      </c>
      <c r="M143" s="208">
        <v>27</v>
      </c>
      <c r="N143" s="208">
        <v>1.7</v>
      </c>
      <c r="O143" s="208">
        <v>9.1</v>
      </c>
      <c r="P143" s="208">
        <v>0.1</v>
      </c>
      <c r="Q143" s="209"/>
      <c r="R143" s="7">
        <v>6852</v>
      </c>
      <c r="S143" s="161" t="s">
        <v>279</v>
      </c>
    </row>
    <row r="144" spans="1:19" ht="15" customHeight="1">
      <c r="A144" s="162" t="s">
        <v>710</v>
      </c>
      <c r="B144" s="162" t="s">
        <v>710</v>
      </c>
      <c r="C144" s="162" t="s">
        <v>711</v>
      </c>
      <c r="D144" s="162" t="s">
        <v>712</v>
      </c>
      <c r="E144" s="162" t="s">
        <v>275</v>
      </c>
      <c r="F144" s="162" t="s">
        <v>713</v>
      </c>
      <c r="G144" s="162"/>
      <c r="H144" s="212"/>
      <c r="I144" s="88" t="s">
        <v>545</v>
      </c>
      <c r="J144" s="212">
        <v>314</v>
      </c>
      <c r="K144" s="213">
        <v>30</v>
      </c>
      <c r="L144" s="213">
        <v>2.5</v>
      </c>
      <c r="M144" s="213">
        <v>10</v>
      </c>
      <c r="N144" s="213">
        <v>5.3</v>
      </c>
      <c r="O144" s="213">
        <v>1.5</v>
      </c>
      <c r="P144" s="213">
        <v>8.1</v>
      </c>
      <c r="Q144" s="214">
        <v>2.5</v>
      </c>
      <c r="R144" s="145">
        <v>3000</v>
      </c>
      <c r="S144" s="162" t="s">
        <v>714</v>
      </c>
    </row>
    <row r="145" spans="1:19" ht="15" customHeight="1">
      <c r="A145" s="161" t="s">
        <v>715</v>
      </c>
      <c r="B145" s="161" t="s">
        <v>715</v>
      </c>
      <c r="C145" s="161" t="s">
        <v>716</v>
      </c>
      <c r="D145" s="161">
        <v>9445</v>
      </c>
      <c r="E145" s="161" t="s">
        <v>249</v>
      </c>
      <c r="F145" s="161" t="s">
        <v>717</v>
      </c>
      <c r="G145" s="161" t="s">
        <v>505</v>
      </c>
      <c r="H145" s="207"/>
      <c r="I145" s="87" t="s">
        <v>718</v>
      </c>
      <c r="J145" s="207">
        <v>31</v>
      </c>
      <c r="K145" s="208">
        <v>0.2</v>
      </c>
      <c r="L145" s="208">
        <v>0</v>
      </c>
      <c r="M145" s="208">
        <v>6.9</v>
      </c>
      <c r="N145" s="208">
        <v>2.4</v>
      </c>
      <c r="O145" s="208">
        <v>0</v>
      </c>
      <c r="P145" s="208"/>
      <c r="Q145" s="209"/>
      <c r="R145" s="7">
        <v>600</v>
      </c>
      <c r="S145" s="161" t="s">
        <v>385</v>
      </c>
    </row>
    <row r="146" spans="1:19" ht="15" customHeight="1">
      <c r="A146" s="162" t="s">
        <v>719</v>
      </c>
      <c r="B146" s="162" t="s">
        <v>719</v>
      </c>
      <c r="C146" s="162" t="s">
        <v>417</v>
      </c>
      <c r="D146" s="162">
        <v>43016</v>
      </c>
      <c r="E146" s="162" t="s">
        <v>303</v>
      </c>
      <c r="F146" s="162" t="s">
        <v>720</v>
      </c>
      <c r="G146" s="162"/>
      <c r="H146" s="212"/>
      <c r="I146" s="88" t="s">
        <v>721</v>
      </c>
      <c r="J146" s="212">
        <v>400</v>
      </c>
      <c r="K146" s="213">
        <v>0</v>
      </c>
      <c r="L146" s="213">
        <v>0</v>
      </c>
      <c r="M146" s="213">
        <v>98</v>
      </c>
      <c r="N146" s="213">
        <v>98</v>
      </c>
      <c r="O146" s="213">
        <v>0</v>
      </c>
      <c r="P146" s="213">
        <v>0</v>
      </c>
      <c r="Q146" s="214">
        <v>0</v>
      </c>
      <c r="R146" s="145">
        <v>400</v>
      </c>
      <c r="S146" s="162" t="s">
        <v>288</v>
      </c>
    </row>
    <row r="147" spans="1:19" ht="15" customHeight="1">
      <c r="A147" s="161" t="s">
        <v>722</v>
      </c>
      <c r="B147" s="161" t="s">
        <v>722</v>
      </c>
      <c r="C147" s="161" t="s">
        <v>723</v>
      </c>
      <c r="D147" s="161">
        <v>58050018</v>
      </c>
      <c r="E147" s="161" t="s">
        <v>303</v>
      </c>
      <c r="F147" s="161" t="s">
        <v>724</v>
      </c>
      <c r="G147" s="161" t="s">
        <v>121</v>
      </c>
      <c r="H147" s="210" t="s">
        <v>725</v>
      </c>
      <c r="I147" s="87" t="s">
        <v>726</v>
      </c>
      <c r="J147" s="207">
        <v>180</v>
      </c>
      <c r="K147" s="208">
        <v>0</v>
      </c>
      <c r="L147" s="208">
        <v>0</v>
      </c>
      <c r="M147" s="208">
        <v>0</v>
      </c>
      <c r="N147" s="208">
        <v>0</v>
      </c>
      <c r="O147" s="208">
        <v>7</v>
      </c>
      <c r="P147" s="208">
        <v>8.8000000000000007</v>
      </c>
      <c r="Q147" s="209">
        <v>75</v>
      </c>
      <c r="R147" s="145">
        <v>400</v>
      </c>
      <c r="S147" s="161" t="s">
        <v>727</v>
      </c>
    </row>
    <row r="148" spans="1:19" ht="15" customHeight="1">
      <c r="A148" s="162" t="s">
        <v>728</v>
      </c>
      <c r="B148" s="162" t="s">
        <v>728</v>
      </c>
      <c r="C148" s="162" t="s">
        <v>558</v>
      </c>
      <c r="D148" s="162">
        <v>101</v>
      </c>
      <c r="E148" s="162" t="s">
        <v>99</v>
      </c>
      <c r="F148" s="162" t="s">
        <v>729</v>
      </c>
      <c r="G148" s="162" t="s">
        <v>108</v>
      </c>
      <c r="H148" s="212"/>
      <c r="I148" s="88" t="s">
        <v>730</v>
      </c>
      <c r="J148" s="212">
        <v>67</v>
      </c>
      <c r="K148" s="213">
        <v>3.9</v>
      </c>
      <c r="L148" s="213">
        <v>2.2999999999999998</v>
      </c>
      <c r="M148" s="213">
        <v>4.7</v>
      </c>
      <c r="N148" s="213">
        <v>4.7</v>
      </c>
      <c r="O148" s="213">
        <v>3.3</v>
      </c>
      <c r="P148" s="213">
        <v>0.1</v>
      </c>
      <c r="Q148" s="214">
        <v>0</v>
      </c>
      <c r="R148" s="145">
        <v>200</v>
      </c>
      <c r="S148" s="162" t="s">
        <v>731</v>
      </c>
    </row>
    <row r="149" spans="1:19" ht="15" customHeight="1">
      <c r="A149" s="161" t="s">
        <v>732</v>
      </c>
      <c r="B149" s="161" t="s">
        <v>732</v>
      </c>
      <c r="C149" s="161" t="s">
        <v>558</v>
      </c>
      <c r="D149" s="161">
        <v>131</v>
      </c>
      <c r="E149" s="161" t="s">
        <v>99</v>
      </c>
      <c r="F149" s="161" t="s">
        <v>733</v>
      </c>
      <c r="G149" s="161" t="s">
        <v>108</v>
      </c>
      <c r="H149" s="207"/>
      <c r="I149" s="87" t="s">
        <v>734</v>
      </c>
      <c r="J149" s="207">
        <v>46</v>
      </c>
      <c r="K149" s="208">
        <v>1.5</v>
      </c>
      <c r="L149" s="208">
        <v>0.9</v>
      </c>
      <c r="M149" s="208">
        <v>4.7</v>
      </c>
      <c r="N149" s="208">
        <v>4.7</v>
      </c>
      <c r="O149" s="208">
        <v>3.4</v>
      </c>
      <c r="P149" s="208">
        <v>0.1</v>
      </c>
      <c r="Q149" s="209">
        <v>0</v>
      </c>
      <c r="R149" s="145">
        <v>200</v>
      </c>
      <c r="S149" s="161" t="s">
        <v>735</v>
      </c>
    </row>
    <row r="150" spans="1:19" ht="15" customHeight="1">
      <c r="A150" s="162" t="s">
        <v>736</v>
      </c>
      <c r="B150" s="162" t="s">
        <v>736</v>
      </c>
      <c r="C150" s="162" t="s">
        <v>558</v>
      </c>
      <c r="D150" s="162">
        <v>119</v>
      </c>
      <c r="E150" s="162" t="s">
        <v>99</v>
      </c>
      <c r="F150" s="162" t="s">
        <v>737</v>
      </c>
      <c r="G150" s="162" t="s">
        <v>108</v>
      </c>
      <c r="H150" s="212" t="s">
        <v>738</v>
      </c>
      <c r="I150" s="88" t="s">
        <v>739</v>
      </c>
      <c r="J150" s="212">
        <v>60</v>
      </c>
      <c r="K150" s="213">
        <v>3.9</v>
      </c>
      <c r="L150" s="213">
        <v>2.2999999999999998</v>
      </c>
      <c r="M150" s="213">
        <v>2.9</v>
      </c>
      <c r="N150" s="213">
        <v>2.9</v>
      </c>
      <c r="O150" s="213">
        <v>3.3</v>
      </c>
      <c r="P150" s="213">
        <v>0.1</v>
      </c>
      <c r="Q150" s="214">
        <v>0</v>
      </c>
      <c r="R150" s="145">
        <v>220</v>
      </c>
      <c r="S150" s="162" t="s">
        <v>740</v>
      </c>
    </row>
    <row r="151" spans="1:19" ht="15" customHeight="1">
      <c r="A151" s="161" t="s">
        <v>741</v>
      </c>
      <c r="B151" s="161" t="s">
        <v>741</v>
      </c>
      <c r="C151" s="161" t="s">
        <v>558</v>
      </c>
      <c r="D151" s="161">
        <v>115</v>
      </c>
      <c r="E151" s="161" t="s">
        <v>99</v>
      </c>
      <c r="F151" s="161" t="s">
        <v>742</v>
      </c>
      <c r="G151" s="161" t="s">
        <v>108</v>
      </c>
      <c r="H151" s="207" t="s">
        <v>738</v>
      </c>
      <c r="I151" s="87" t="s">
        <v>743</v>
      </c>
      <c r="J151" s="207">
        <v>39</v>
      </c>
      <c r="K151" s="208">
        <v>1.5</v>
      </c>
      <c r="L151" s="208">
        <v>0.9</v>
      </c>
      <c r="M151" s="208">
        <v>2.9</v>
      </c>
      <c r="N151" s="208">
        <v>2.9</v>
      </c>
      <c r="O151" s="208">
        <v>3.4</v>
      </c>
      <c r="P151" s="208">
        <v>0.1</v>
      </c>
      <c r="Q151" s="209">
        <v>0</v>
      </c>
      <c r="R151" s="145">
        <v>220</v>
      </c>
      <c r="S151" s="161" t="s">
        <v>744</v>
      </c>
    </row>
    <row r="152" spans="1:19" ht="15" customHeight="1">
      <c r="A152" s="162" t="s">
        <v>745</v>
      </c>
      <c r="B152" s="162" t="s">
        <v>745</v>
      </c>
      <c r="C152" s="162" t="s">
        <v>558</v>
      </c>
      <c r="D152" s="162">
        <v>300</v>
      </c>
      <c r="E152" s="162" t="s">
        <v>99</v>
      </c>
      <c r="F152" s="162" t="s">
        <v>746</v>
      </c>
      <c r="G152" s="162" t="s">
        <v>108</v>
      </c>
      <c r="H152" s="212"/>
      <c r="I152" s="88" t="s">
        <v>747</v>
      </c>
      <c r="J152" s="212">
        <v>64</v>
      </c>
      <c r="K152" s="213">
        <v>3.9</v>
      </c>
      <c r="L152" s="213">
        <v>2.2999999999999998</v>
      </c>
      <c r="M152" s="213">
        <v>3.7</v>
      </c>
      <c r="N152" s="213">
        <v>3.7</v>
      </c>
      <c r="O152" s="213">
        <v>3.4</v>
      </c>
      <c r="P152" s="213">
        <v>0.1</v>
      </c>
      <c r="Q152" s="214"/>
      <c r="R152" s="7">
        <v>700</v>
      </c>
      <c r="S152" s="162" t="s">
        <v>748</v>
      </c>
    </row>
    <row r="153" spans="1:19" ht="15" customHeight="1">
      <c r="A153" s="161" t="s">
        <v>749</v>
      </c>
      <c r="B153" s="161" t="s">
        <v>749</v>
      </c>
      <c r="C153" s="161" t="s">
        <v>750</v>
      </c>
      <c r="D153" s="161"/>
      <c r="E153" s="161" t="s">
        <v>126</v>
      </c>
      <c r="F153" s="161" t="s">
        <v>751</v>
      </c>
      <c r="G153" s="161"/>
      <c r="H153" s="207"/>
      <c r="I153" s="87" t="s">
        <v>752</v>
      </c>
      <c r="J153" s="207">
        <v>190</v>
      </c>
      <c r="K153" s="208">
        <v>12.5</v>
      </c>
      <c r="L153" s="208">
        <v>5</v>
      </c>
      <c r="M153" s="208">
        <v>0</v>
      </c>
      <c r="N153" s="208">
        <v>0</v>
      </c>
      <c r="O153" s="208">
        <v>19.5</v>
      </c>
      <c r="P153" s="208">
        <v>0.1</v>
      </c>
      <c r="Q153" s="209">
        <v>0</v>
      </c>
      <c r="R153" s="145">
        <v>2900</v>
      </c>
      <c r="S153" s="161" t="s">
        <v>753</v>
      </c>
    </row>
    <row r="154" spans="1:19" ht="15" customHeight="1">
      <c r="A154" s="162" t="s">
        <v>754</v>
      </c>
      <c r="B154" s="162" t="s">
        <v>754</v>
      </c>
      <c r="C154" s="162" t="s">
        <v>755</v>
      </c>
      <c r="D154" s="162">
        <v>20059980</v>
      </c>
      <c r="E154" s="162" t="s">
        <v>303</v>
      </c>
      <c r="F154" s="162" t="s">
        <v>504</v>
      </c>
      <c r="G154" s="162" t="s">
        <v>756</v>
      </c>
      <c r="H154" s="212"/>
      <c r="I154" s="88" t="s">
        <v>757</v>
      </c>
      <c r="J154" s="212">
        <v>153</v>
      </c>
      <c r="K154" s="213">
        <v>4.2</v>
      </c>
      <c r="L154" s="213">
        <v>0</v>
      </c>
      <c r="M154" s="213">
        <v>23.4</v>
      </c>
      <c r="N154" s="213">
        <v>0</v>
      </c>
      <c r="O154" s="213">
        <v>5.0999999999999996</v>
      </c>
      <c r="P154" s="213">
        <v>0</v>
      </c>
      <c r="Q154" s="214"/>
      <c r="R154" s="7">
        <v>600</v>
      </c>
      <c r="S154" s="162" t="s">
        <v>758</v>
      </c>
    </row>
    <row r="155" spans="1:19" ht="15" customHeight="1">
      <c r="A155" s="161" t="s">
        <v>759</v>
      </c>
      <c r="B155" s="161" t="s">
        <v>759</v>
      </c>
      <c r="C155" s="161" t="s">
        <v>760</v>
      </c>
      <c r="D155" s="161">
        <v>65</v>
      </c>
      <c r="E155" s="161" t="s">
        <v>22</v>
      </c>
      <c r="F155" s="161" t="s">
        <v>761</v>
      </c>
      <c r="G155" s="161" t="s">
        <v>30</v>
      </c>
      <c r="H155" s="207" t="s">
        <v>762</v>
      </c>
      <c r="I155" s="87" t="s">
        <v>763</v>
      </c>
      <c r="J155" s="207">
        <v>267</v>
      </c>
      <c r="K155" s="208">
        <v>2.4</v>
      </c>
      <c r="L155" s="208">
        <v>0.4</v>
      </c>
      <c r="M155" s="208">
        <v>51.1</v>
      </c>
      <c r="N155" s="208">
        <v>0.5</v>
      </c>
      <c r="O155" s="208">
        <v>8.9</v>
      </c>
      <c r="P155" s="208">
        <v>1.6</v>
      </c>
      <c r="Q155" s="209">
        <v>2.2999999999999998</v>
      </c>
      <c r="R155" s="145">
        <v>600</v>
      </c>
      <c r="S155" s="161" t="s">
        <v>764</v>
      </c>
    </row>
    <row r="156" spans="1:19" ht="15" customHeight="1">
      <c r="A156" s="160" t="s">
        <v>765</v>
      </c>
      <c r="B156" s="160" t="s">
        <v>765</v>
      </c>
      <c r="C156" s="160" t="s">
        <v>766</v>
      </c>
      <c r="D156" s="160">
        <v>21032</v>
      </c>
      <c r="E156" s="160" t="s">
        <v>99</v>
      </c>
      <c r="F156" s="160" t="s">
        <v>767</v>
      </c>
      <c r="G156" s="160" t="s">
        <v>108</v>
      </c>
      <c r="H156" s="204"/>
      <c r="I156" s="86" t="s">
        <v>768</v>
      </c>
      <c r="J156" s="204">
        <v>301</v>
      </c>
      <c r="K156" s="205">
        <v>21</v>
      </c>
      <c r="L156" s="205">
        <v>12</v>
      </c>
      <c r="M156" s="205">
        <v>3.2</v>
      </c>
      <c r="N156" s="205">
        <v>1</v>
      </c>
      <c r="O156" s="205">
        <v>24</v>
      </c>
      <c r="P156" s="205">
        <v>1.4</v>
      </c>
      <c r="Q156" s="206">
        <v>0</v>
      </c>
      <c r="R156" s="145">
        <v>1500</v>
      </c>
      <c r="S156" s="160" t="s">
        <v>769</v>
      </c>
    </row>
    <row r="157" spans="1:19" ht="15" customHeight="1">
      <c r="A157" s="161" t="s">
        <v>770</v>
      </c>
      <c r="B157" s="161" t="s">
        <v>770</v>
      </c>
      <c r="C157" s="161" t="s">
        <v>771</v>
      </c>
      <c r="D157" s="161"/>
      <c r="E157" s="161" t="s">
        <v>22</v>
      </c>
      <c r="F157" s="161" t="s">
        <v>772</v>
      </c>
      <c r="G157" s="161" t="s">
        <v>30</v>
      </c>
      <c r="H157" s="207"/>
      <c r="I157" s="87" t="s">
        <v>773</v>
      </c>
      <c r="J157" s="207">
        <v>270</v>
      </c>
      <c r="K157" s="208">
        <v>6.6</v>
      </c>
      <c r="L157" s="208">
        <v>4.3</v>
      </c>
      <c r="M157" s="208">
        <v>43.7</v>
      </c>
      <c r="N157" s="208">
        <v>4.7</v>
      </c>
      <c r="O157" s="208">
        <v>8.1</v>
      </c>
      <c r="P157" s="208">
        <v>0.9</v>
      </c>
      <c r="Q157" s="209">
        <v>2</v>
      </c>
      <c r="R157" s="7">
        <v>2500</v>
      </c>
      <c r="S157" s="161"/>
    </row>
    <row r="158" spans="1:19" ht="15" customHeight="1">
      <c r="A158" s="163" t="s">
        <v>774</v>
      </c>
      <c r="B158" s="163" t="s">
        <v>774</v>
      </c>
      <c r="C158" s="163" t="s">
        <v>775</v>
      </c>
      <c r="D158" s="163"/>
      <c r="E158" s="163" t="s">
        <v>113</v>
      </c>
      <c r="F158" s="163" t="s">
        <v>776</v>
      </c>
      <c r="G158" s="163" t="s">
        <v>777</v>
      </c>
      <c r="H158" s="215"/>
      <c r="I158" s="216"/>
      <c r="J158" s="215">
        <v>72</v>
      </c>
      <c r="K158" s="217">
        <v>3.3</v>
      </c>
      <c r="L158" s="217">
        <v>0.4</v>
      </c>
      <c r="M158" s="217">
        <v>6</v>
      </c>
      <c r="N158" s="217">
        <v>3.3</v>
      </c>
      <c r="O158" s="217">
        <v>5.6</v>
      </c>
      <c r="P158" s="217">
        <v>0.7</v>
      </c>
      <c r="Q158" s="216">
        <v>2.5</v>
      </c>
      <c r="R158" s="145">
        <v>1800</v>
      </c>
      <c r="S158" s="163" t="s">
        <v>778</v>
      </c>
    </row>
    <row r="159" spans="1:19" ht="15" customHeight="1">
      <c r="A159" s="161" t="s">
        <v>779</v>
      </c>
      <c r="B159" s="161" t="s">
        <v>779</v>
      </c>
      <c r="C159" s="161" t="s">
        <v>780</v>
      </c>
      <c r="D159" s="161"/>
      <c r="E159" s="161" t="s">
        <v>303</v>
      </c>
      <c r="F159" s="161" t="s">
        <v>781</v>
      </c>
      <c r="G159" s="161" t="s">
        <v>30</v>
      </c>
      <c r="H159" s="207" t="s">
        <v>782</v>
      </c>
      <c r="I159" s="87" t="s">
        <v>783</v>
      </c>
      <c r="J159" s="207">
        <v>353</v>
      </c>
      <c r="K159" s="208">
        <v>1.2</v>
      </c>
      <c r="L159" s="208">
        <v>0.2</v>
      </c>
      <c r="M159" s="208">
        <v>72</v>
      </c>
      <c r="N159" s="208">
        <v>2.5</v>
      </c>
      <c r="O159" s="208">
        <v>12</v>
      </c>
      <c r="P159" s="208">
        <v>0</v>
      </c>
      <c r="Q159" s="209">
        <v>3</v>
      </c>
      <c r="R159" s="145">
        <v>400</v>
      </c>
      <c r="S159" s="161" t="s">
        <v>784</v>
      </c>
    </row>
    <row r="160" spans="1:19" ht="15" customHeight="1">
      <c r="A160" s="163" t="s">
        <v>785</v>
      </c>
      <c r="B160" s="163" t="s">
        <v>785</v>
      </c>
      <c r="C160" s="163" t="s">
        <v>775</v>
      </c>
      <c r="D160" s="163"/>
      <c r="E160" s="163" t="s">
        <v>519</v>
      </c>
      <c r="F160" s="163" t="s">
        <v>786</v>
      </c>
      <c r="G160" s="163" t="s">
        <v>227</v>
      </c>
      <c r="H160" s="215"/>
      <c r="I160" s="216"/>
      <c r="J160" s="215">
        <v>96</v>
      </c>
      <c r="K160" s="217">
        <v>5.2</v>
      </c>
      <c r="L160" s="217">
        <v>1.9</v>
      </c>
      <c r="M160" s="217">
        <v>5.5</v>
      </c>
      <c r="N160" s="217">
        <v>3.4</v>
      </c>
      <c r="O160" s="217">
        <v>8.6</v>
      </c>
      <c r="P160" s="217">
        <v>0.9</v>
      </c>
      <c r="Q160" s="216">
        <v>1.1000000000000001</v>
      </c>
      <c r="R160" s="145">
        <v>800</v>
      </c>
      <c r="S160" s="163" t="s">
        <v>787</v>
      </c>
    </row>
    <row r="161" spans="1:19" ht="15" customHeight="1">
      <c r="A161" s="161" t="s">
        <v>788</v>
      </c>
      <c r="B161" s="161" t="s">
        <v>788</v>
      </c>
      <c r="C161" s="161" t="s">
        <v>775</v>
      </c>
      <c r="D161" s="161"/>
      <c r="E161" s="161" t="s">
        <v>519</v>
      </c>
      <c r="F161" s="161" t="s">
        <v>789</v>
      </c>
      <c r="G161" s="161" t="s">
        <v>790</v>
      </c>
      <c r="H161" s="207" t="s">
        <v>791</v>
      </c>
      <c r="I161" s="209"/>
      <c r="J161" s="207">
        <v>148</v>
      </c>
      <c r="K161" s="208">
        <v>9.6</v>
      </c>
      <c r="L161" s="208">
        <v>0.7</v>
      </c>
      <c r="M161" s="208">
        <v>32</v>
      </c>
      <c r="N161" s="208">
        <v>1.9</v>
      </c>
      <c r="O161" s="208">
        <v>5.5</v>
      </c>
      <c r="P161" s="208">
        <v>0.3</v>
      </c>
      <c r="Q161" s="209">
        <v>1.5</v>
      </c>
      <c r="R161" s="7">
        <v>350</v>
      </c>
      <c r="S161" s="161"/>
    </row>
    <row r="162" spans="1:19" ht="15" customHeight="1">
      <c r="A162" s="163" t="s">
        <v>792</v>
      </c>
      <c r="B162" s="163" t="s">
        <v>792</v>
      </c>
      <c r="C162" s="163" t="s">
        <v>793</v>
      </c>
      <c r="D162" s="163"/>
      <c r="E162" s="163" t="s">
        <v>543</v>
      </c>
      <c r="F162" s="163" t="s">
        <v>792</v>
      </c>
      <c r="G162" s="163" t="s">
        <v>543</v>
      </c>
      <c r="H162" s="215"/>
      <c r="I162" s="216"/>
      <c r="J162" s="215">
        <v>100</v>
      </c>
      <c r="K162" s="217">
        <v>0.7</v>
      </c>
      <c r="L162" s="217">
        <v>0.1</v>
      </c>
      <c r="M162" s="217">
        <v>0</v>
      </c>
      <c r="N162" s="217">
        <v>0</v>
      </c>
      <c r="O162" s="217">
        <v>23</v>
      </c>
      <c r="P162" s="217">
        <v>0.3</v>
      </c>
      <c r="Q162" s="216">
        <v>0</v>
      </c>
      <c r="R162" s="7">
        <v>1900</v>
      </c>
      <c r="S162" s="163"/>
    </row>
    <row r="163" spans="1:19" ht="15" customHeight="1">
      <c r="A163" s="161" t="s">
        <v>794</v>
      </c>
      <c r="B163" s="161" t="s">
        <v>794</v>
      </c>
      <c r="C163" s="161"/>
      <c r="D163" s="161"/>
      <c r="E163" s="161" t="s">
        <v>113</v>
      </c>
      <c r="F163" s="161" t="s">
        <v>795</v>
      </c>
      <c r="G163" s="161"/>
      <c r="H163" s="207" t="s">
        <v>183</v>
      </c>
      <c r="I163" s="209"/>
      <c r="J163" s="207">
        <v>256</v>
      </c>
      <c r="K163" s="208">
        <v>17</v>
      </c>
      <c r="L163" s="208">
        <v>1.2</v>
      </c>
      <c r="M163" s="208">
        <v>14</v>
      </c>
      <c r="N163" s="208">
        <v>0</v>
      </c>
      <c r="O163" s="208">
        <v>12</v>
      </c>
      <c r="P163" s="208">
        <v>1.2</v>
      </c>
      <c r="Q163" s="209">
        <v>0</v>
      </c>
      <c r="R163" s="7">
        <v>350</v>
      </c>
      <c r="S163" s="161"/>
    </row>
    <row r="164" spans="1:19" ht="15" customHeight="1">
      <c r="A164" s="163" t="s">
        <v>796</v>
      </c>
      <c r="B164" s="163" t="s">
        <v>796</v>
      </c>
      <c r="C164" s="163" t="s">
        <v>775</v>
      </c>
      <c r="D164" s="163"/>
      <c r="E164" s="163" t="s">
        <v>249</v>
      </c>
      <c r="F164" s="163" t="s">
        <v>797</v>
      </c>
      <c r="G164" s="163" t="s">
        <v>133</v>
      </c>
      <c r="H164" s="215"/>
      <c r="I164" s="216"/>
      <c r="J164" s="215">
        <v>277</v>
      </c>
      <c r="K164" s="217">
        <v>14.1</v>
      </c>
      <c r="L164" s="217">
        <v>1.1000000000000001</v>
      </c>
      <c r="M164" s="217">
        <v>14.6</v>
      </c>
      <c r="N164" s="217">
        <v>12.5</v>
      </c>
      <c r="O164" s="217">
        <v>0.9</v>
      </c>
      <c r="P164" s="217">
        <v>1.8</v>
      </c>
      <c r="Q164" s="216">
        <v>0</v>
      </c>
      <c r="R164" s="145">
        <v>600</v>
      </c>
      <c r="S164" s="163" t="s">
        <v>798</v>
      </c>
    </row>
    <row r="165" spans="1:19" ht="15" customHeight="1">
      <c r="A165" s="160" t="s">
        <v>799</v>
      </c>
      <c r="B165" s="160" t="s">
        <v>799</v>
      </c>
      <c r="C165" s="160" t="s">
        <v>800</v>
      </c>
      <c r="D165" s="160"/>
      <c r="E165" s="160" t="s">
        <v>479</v>
      </c>
      <c r="F165" s="160" t="s">
        <v>799</v>
      </c>
      <c r="G165" s="160"/>
      <c r="H165" s="204"/>
      <c r="I165" s="206"/>
      <c r="J165" s="204">
        <v>52</v>
      </c>
      <c r="K165" s="205">
        <v>0.2</v>
      </c>
      <c r="L165" s="205">
        <v>0</v>
      </c>
      <c r="M165" s="205">
        <v>13.8</v>
      </c>
      <c r="N165" s="205">
        <v>10.4</v>
      </c>
      <c r="O165" s="205">
        <v>0.3</v>
      </c>
      <c r="P165" s="205">
        <v>0</v>
      </c>
      <c r="Q165" s="206">
        <v>2.4</v>
      </c>
      <c r="R165" s="7">
        <v>350</v>
      </c>
      <c r="S165" s="160"/>
    </row>
    <row r="166" spans="1:19" ht="15" customHeight="1">
      <c r="A166" s="161" t="s">
        <v>801</v>
      </c>
      <c r="B166" s="161" t="s">
        <v>801</v>
      </c>
      <c r="C166" s="161" t="s">
        <v>800</v>
      </c>
      <c r="D166" s="161"/>
      <c r="E166" s="161" t="s">
        <v>479</v>
      </c>
      <c r="F166" s="161" t="s">
        <v>801</v>
      </c>
      <c r="G166" s="161"/>
      <c r="H166" s="207"/>
      <c r="I166" s="209"/>
      <c r="J166" s="207">
        <v>89</v>
      </c>
      <c r="K166" s="208">
        <v>0.3</v>
      </c>
      <c r="L166" s="208">
        <v>0.1</v>
      </c>
      <c r="M166" s="208">
        <v>23</v>
      </c>
      <c r="N166" s="208">
        <v>12.2</v>
      </c>
      <c r="O166" s="208">
        <v>1.1000000000000001</v>
      </c>
      <c r="P166" s="208">
        <v>0</v>
      </c>
      <c r="Q166" s="209">
        <v>2.6</v>
      </c>
      <c r="R166" s="7">
        <v>280</v>
      </c>
      <c r="S166" s="161"/>
    </row>
    <row r="167" spans="1:19" ht="15" customHeight="1">
      <c r="A167" s="160" t="s">
        <v>802</v>
      </c>
      <c r="B167" s="160" t="s">
        <v>802</v>
      </c>
      <c r="C167" s="160" t="s">
        <v>800</v>
      </c>
      <c r="D167" s="160"/>
      <c r="E167" s="160" t="s">
        <v>479</v>
      </c>
      <c r="F167" s="160" t="s">
        <v>802</v>
      </c>
      <c r="G167" s="160"/>
      <c r="H167" s="204"/>
      <c r="I167" s="206"/>
      <c r="J167" s="204">
        <v>57</v>
      </c>
      <c r="K167" s="205">
        <v>0.1</v>
      </c>
      <c r="L167" s="205">
        <v>0</v>
      </c>
      <c r="M167" s="205">
        <v>15.2</v>
      </c>
      <c r="N167" s="205">
        <v>9.8000000000000007</v>
      </c>
      <c r="O167" s="205">
        <v>0.4</v>
      </c>
      <c r="P167" s="205">
        <v>0</v>
      </c>
      <c r="Q167" s="206">
        <v>3.1</v>
      </c>
      <c r="R167" s="7">
        <v>600</v>
      </c>
      <c r="S167" s="160"/>
    </row>
    <row r="168" spans="1:19" ht="15" customHeight="1">
      <c r="A168" s="161" t="s">
        <v>803</v>
      </c>
      <c r="B168" s="161" t="s">
        <v>803</v>
      </c>
      <c r="C168" s="161" t="s">
        <v>800</v>
      </c>
      <c r="D168" s="161"/>
      <c r="E168" s="161" t="s">
        <v>479</v>
      </c>
      <c r="F168" s="161" t="s">
        <v>803</v>
      </c>
      <c r="G168" s="161"/>
      <c r="H168" s="207"/>
      <c r="I168" s="209"/>
      <c r="J168" s="207">
        <v>69</v>
      </c>
      <c r="K168" s="208">
        <v>0.2</v>
      </c>
      <c r="L168" s="208">
        <v>0</v>
      </c>
      <c r="M168" s="208">
        <v>18.100000000000001</v>
      </c>
      <c r="N168" s="208">
        <v>15.5</v>
      </c>
      <c r="O168" s="208">
        <v>0.6</v>
      </c>
      <c r="P168" s="208">
        <v>0</v>
      </c>
      <c r="Q168" s="209">
        <v>0.9</v>
      </c>
      <c r="R168" s="7">
        <v>1200</v>
      </c>
      <c r="S168" s="161"/>
    </row>
    <row r="169" spans="1:19" ht="15" customHeight="1">
      <c r="A169" s="160" t="s">
        <v>804</v>
      </c>
      <c r="B169" s="160" t="s">
        <v>804</v>
      </c>
      <c r="C169" s="160" t="s">
        <v>800</v>
      </c>
      <c r="D169" s="160"/>
      <c r="E169" s="160" t="s">
        <v>479</v>
      </c>
      <c r="F169" s="160" t="s">
        <v>804</v>
      </c>
      <c r="G169" s="160"/>
      <c r="H169" s="204"/>
      <c r="I169" s="206"/>
      <c r="J169" s="204">
        <v>30</v>
      </c>
      <c r="K169" s="205">
        <v>0.2</v>
      </c>
      <c r="L169" s="205">
        <v>0</v>
      </c>
      <c r="M169" s="205">
        <v>7.6</v>
      </c>
      <c r="N169" s="205">
        <v>6.2</v>
      </c>
      <c r="O169" s="205">
        <v>0.6</v>
      </c>
      <c r="P169" s="205">
        <v>0</v>
      </c>
      <c r="Q169" s="206">
        <v>0.4</v>
      </c>
      <c r="R169" s="7">
        <v>100</v>
      </c>
      <c r="S169" s="160"/>
    </row>
    <row r="170" spans="1:19" ht="15" customHeight="1">
      <c r="A170" s="161" t="s">
        <v>805</v>
      </c>
      <c r="B170" s="161" t="s">
        <v>805</v>
      </c>
      <c r="C170" s="161" t="s">
        <v>800</v>
      </c>
      <c r="D170" s="161"/>
      <c r="E170" s="161" t="s">
        <v>479</v>
      </c>
      <c r="F170" s="161" t="s">
        <v>805</v>
      </c>
      <c r="G170" s="161"/>
      <c r="H170" s="207"/>
      <c r="I170" s="209"/>
      <c r="J170" s="207">
        <v>47</v>
      </c>
      <c r="K170" s="208">
        <v>0.1</v>
      </c>
      <c r="L170" s="208">
        <v>0</v>
      </c>
      <c r="M170" s="208">
        <v>11.8</v>
      </c>
      <c r="N170" s="208">
        <v>9.4</v>
      </c>
      <c r="O170" s="208">
        <v>0.9</v>
      </c>
      <c r="P170" s="208">
        <v>0</v>
      </c>
      <c r="Q170" s="209">
        <v>2.4</v>
      </c>
      <c r="R170" s="7">
        <v>350</v>
      </c>
      <c r="S170" s="161"/>
    </row>
    <row r="171" spans="1:19" ht="15" customHeight="1">
      <c r="A171" s="160" t="s">
        <v>806</v>
      </c>
      <c r="B171" s="160" t="s">
        <v>806</v>
      </c>
      <c r="C171" s="160" t="s">
        <v>807</v>
      </c>
      <c r="D171" s="160" t="s">
        <v>808</v>
      </c>
      <c r="E171" s="160" t="s">
        <v>22</v>
      </c>
      <c r="F171" s="160" t="s">
        <v>809</v>
      </c>
      <c r="G171" s="160" t="s">
        <v>36</v>
      </c>
      <c r="H171" s="204"/>
      <c r="I171" s="86" t="s">
        <v>810</v>
      </c>
      <c r="J171" s="204">
        <v>270</v>
      </c>
      <c r="K171" s="205">
        <v>5.2</v>
      </c>
      <c r="L171" s="205">
        <v>0.7</v>
      </c>
      <c r="M171" s="205">
        <v>40</v>
      </c>
      <c r="N171" s="205">
        <v>2.6</v>
      </c>
      <c r="O171" s="205">
        <v>12</v>
      </c>
      <c r="P171" s="205">
        <v>1</v>
      </c>
      <c r="Q171" s="206">
        <v>6</v>
      </c>
      <c r="R171" s="7">
        <v>600</v>
      </c>
      <c r="S171" s="160"/>
    </row>
    <row r="172" spans="1:19" ht="15" customHeight="1">
      <c r="A172" s="161" t="s">
        <v>811</v>
      </c>
      <c r="B172" s="161" t="s">
        <v>811</v>
      </c>
      <c r="C172" s="161" t="s">
        <v>793</v>
      </c>
      <c r="D172" s="161"/>
      <c r="E172" s="161" t="s">
        <v>543</v>
      </c>
      <c r="F172" s="161" t="s">
        <v>812</v>
      </c>
      <c r="G172" s="161" t="s">
        <v>543</v>
      </c>
      <c r="H172" s="207"/>
      <c r="I172" s="87" t="s">
        <v>813</v>
      </c>
      <c r="J172" s="207">
        <v>356</v>
      </c>
      <c r="K172" s="208">
        <v>37</v>
      </c>
      <c r="L172" s="208">
        <v>2.9</v>
      </c>
      <c r="M172" s="208">
        <v>6.3</v>
      </c>
      <c r="N172" s="208">
        <v>3.1</v>
      </c>
      <c r="O172" s="208">
        <v>0.9</v>
      </c>
      <c r="P172" s="208">
        <v>9.9</v>
      </c>
      <c r="Q172" s="209">
        <v>1</v>
      </c>
      <c r="R172" s="7">
        <v>1800</v>
      </c>
      <c r="S172" s="161"/>
    </row>
    <row r="173" spans="1:19" ht="15" customHeight="1">
      <c r="A173" s="161" t="s">
        <v>814</v>
      </c>
      <c r="B173" s="161" t="s">
        <v>814</v>
      </c>
      <c r="C173" s="161" t="s">
        <v>793</v>
      </c>
      <c r="D173" s="161"/>
      <c r="E173" s="161" t="s">
        <v>543</v>
      </c>
      <c r="F173" s="161" t="s">
        <v>815</v>
      </c>
      <c r="G173" s="161" t="s">
        <v>579</v>
      </c>
      <c r="H173" s="207"/>
      <c r="I173" s="87" t="s">
        <v>816</v>
      </c>
      <c r="J173" s="218">
        <v>175</v>
      </c>
      <c r="K173" s="219">
        <v>6</v>
      </c>
      <c r="L173" s="219" t="s">
        <v>817</v>
      </c>
      <c r="M173" s="219">
        <v>15</v>
      </c>
      <c r="N173" s="219" t="s">
        <v>817</v>
      </c>
      <c r="O173" s="219">
        <v>15</v>
      </c>
      <c r="P173" s="219">
        <v>1</v>
      </c>
      <c r="Q173" s="220">
        <v>0</v>
      </c>
      <c r="R173" s="7">
        <v>1800</v>
      </c>
      <c r="S173" s="161" t="s">
        <v>818</v>
      </c>
    </row>
    <row r="174" spans="1:19" ht="15" customHeight="1">
      <c r="A174" s="160" t="s">
        <v>819</v>
      </c>
      <c r="B174" s="160" t="s">
        <v>819</v>
      </c>
      <c r="C174" s="160" t="s">
        <v>467</v>
      </c>
      <c r="D174" s="160">
        <v>221</v>
      </c>
      <c r="E174" s="160" t="s">
        <v>113</v>
      </c>
      <c r="F174" s="160" t="s">
        <v>820</v>
      </c>
      <c r="G174" s="160" t="s">
        <v>469</v>
      </c>
      <c r="H174" s="204" t="s">
        <v>499</v>
      </c>
      <c r="I174" s="86" t="s">
        <v>821</v>
      </c>
      <c r="J174" s="204">
        <v>215</v>
      </c>
      <c r="K174" s="205">
        <v>2</v>
      </c>
      <c r="L174" s="205">
        <v>0.3</v>
      </c>
      <c r="M174" s="205">
        <v>36.9</v>
      </c>
      <c r="N174" s="205">
        <v>1.4</v>
      </c>
      <c r="O174" s="205">
        <v>8.4</v>
      </c>
      <c r="P174" s="205">
        <v>0.9</v>
      </c>
      <c r="Q174" s="206">
        <v>7.7</v>
      </c>
      <c r="R174" s="7">
        <v>600</v>
      </c>
      <c r="S174" s="160"/>
    </row>
    <row r="175" spans="1:19" ht="15" customHeight="1">
      <c r="A175" s="161" t="s">
        <v>822</v>
      </c>
      <c r="B175" s="161" t="s">
        <v>822</v>
      </c>
      <c r="C175" s="161" t="s">
        <v>823</v>
      </c>
      <c r="D175" s="161">
        <v>59523</v>
      </c>
      <c r="E175" s="161" t="s">
        <v>126</v>
      </c>
      <c r="F175" s="161" t="s">
        <v>824</v>
      </c>
      <c r="G175" s="161" t="s">
        <v>128</v>
      </c>
      <c r="H175" s="207"/>
      <c r="I175" s="87" t="s">
        <v>825</v>
      </c>
      <c r="J175" s="207">
        <v>190</v>
      </c>
      <c r="K175" s="208">
        <v>11</v>
      </c>
      <c r="L175" s="208">
        <v>6.4</v>
      </c>
      <c r="M175" s="208">
        <v>2.7</v>
      </c>
      <c r="N175" s="208">
        <v>0.1</v>
      </c>
      <c r="O175" s="208">
        <v>20</v>
      </c>
      <c r="P175" s="208">
        <v>1.4</v>
      </c>
      <c r="Q175" s="209">
        <v>0</v>
      </c>
      <c r="R175" s="7">
        <v>2000</v>
      </c>
      <c r="S175" s="161"/>
    </row>
    <row r="176" spans="1:19" ht="15" customHeight="1">
      <c r="A176" s="160" t="s">
        <v>826</v>
      </c>
      <c r="B176" s="160" t="s">
        <v>826</v>
      </c>
      <c r="C176" s="160" t="s">
        <v>643</v>
      </c>
      <c r="D176" s="160">
        <v>42010002330</v>
      </c>
      <c r="E176" s="161" t="s">
        <v>303</v>
      </c>
      <c r="F176" s="160" t="s">
        <v>827</v>
      </c>
      <c r="G176" s="160" t="s">
        <v>469</v>
      </c>
      <c r="H176" s="204"/>
      <c r="I176" s="86" t="s">
        <v>828</v>
      </c>
      <c r="J176" s="204">
        <v>121</v>
      </c>
      <c r="K176" s="205">
        <v>0.5</v>
      </c>
      <c r="L176" s="205">
        <v>0.1</v>
      </c>
      <c r="M176" s="205">
        <v>27.9</v>
      </c>
      <c r="N176" s="205">
        <v>0.1</v>
      </c>
      <c r="O176" s="205">
        <v>2.5</v>
      </c>
      <c r="P176" s="205">
        <v>0</v>
      </c>
      <c r="Q176" s="206">
        <v>3.8</v>
      </c>
      <c r="R176" s="7">
        <v>400</v>
      </c>
      <c r="S176" s="160"/>
    </row>
    <row r="177" spans="1:19" ht="15" customHeight="1">
      <c r="A177" s="164" t="s">
        <v>829</v>
      </c>
      <c r="B177" s="164" t="s">
        <v>829</v>
      </c>
      <c r="C177" s="164" t="s">
        <v>391</v>
      </c>
      <c r="D177" s="164">
        <v>6091</v>
      </c>
      <c r="E177" s="164" t="s">
        <v>99</v>
      </c>
      <c r="F177" s="164" t="s">
        <v>830</v>
      </c>
      <c r="G177" s="164" t="s">
        <v>831</v>
      </c>
      <c r="H177" s="221"/>
      <c r="I177" s="89" t="s">
        <v>832</v>
      </c>
      <c r="J177" s="221">
        <v>235</v>
      </c>
      <c r="K177" s="222">
        <v>18</v>
      </c>
      <c r="L177" s="222">
        <v>10</v>
      </c>
      <c r="M177" s="222">
        <v>0.3</v>
      </c>
      <c r="N177" s="222">
        <v>0.2</v>
      </c>
      <c r="O177" s="222">
        <v>19</v>
      </c>
      <c r="P177" s="222">
        <v>2.8</v>
      </c>
      <c r="Q177" s="223">
        <v>0</v>
      </c>
      <c r="R177" s="7">
        <v>2100</v>
      </c>
      <c r="S177" s="164"/>
    </row>
    <row r="178" spans="1:19" ht="15" customHeight="1">
      <c r="A178" s="165" t="s">
        <v>833</v>
      </c>
      <c r="B178" s="165" t="s">
        <v>833</v>
      </c>
      <c r="C178" s="165" t="s">
        <v>467</v>
      </c>
      <c r="D178" s="165"/>
      <c r="E178" s="165" t="s">
        <v>113</v>
      </c>
      <c r="F178" s="165" t="s">
        <v>834</v>
      </c>
      <c r="G178" s="165" t="s">
        <v>835</v>
      </c>
      <c r="H178" s="224" t="s">
        <v>836</v>
      </c>
      <c r="I178" s="225"/>
      <c r="J178" s="224"/>
      <c r="K178" s="226"/>
      <c r="L178" s="226"/>
      <c r="M178" s="226"/>
      <c r="N178" s="226"/>
      <c r="O178" s="226"/>
      <c r="P178" s="226"/>
      <c r="Q178" s="225"/>
      <c r="R178" s="115">
        <v>2500</v>
      </c>
      <c r="S178" s="165" t="s">
        <v>837</v>
      </c>
    </row>
    <row r="179" spans="1:19" s="120" customFormat="1">
      <c r="A179" s="166" t="s">
        <v>838</v>
      </c>
      <c r="B179" s="166" t="s">
        <v>838</v>
      </c>
      <c r="C179" s="167" t="s">
        <v>839</v>
      </c>
      <c r="D179" s="166" t="s">
        <v>840</v>
      </c>
      <c r="E179" s="166" t="s">
        <v>519</v>
      </c>
      <c r="F179" s="166" t="s">
        <v>841</v>
      </c>
      <c r="G179" s="166" t="s">
        <v>227</v>
      </c>
      <c r="H179" s="323"/>
      <c r="I179" s="324"/>
      <c r="J179" s="227">
        <v>170</v>
      </c>
      <c r="K179" s="228">
        <v>8.3000000000000007</v>
      </c>
      <c r="L179" s="228">
        <v>2.1</v>
      </c>
      <c r="M179" s="228">
        <v>11.9</v>
      </c>
      <c r="N179" s="228">
        <v>2</v>
      </c>
      <c r="O179" s="228">
        <v>11.4</v>
      </c>
      <c r="P179" s="228">
        <v>3.3</v>
      </c>
      <c r="Q179" s="229">
        <v>0.8</v>
      </c>
      <c r="R179" s="146">
        <v>800</v>
      </c>
      <c r="S179" s="166" t="s">
        <v>842</v>
      </c>
    </row>
    <row r="180" spans="1:19" ht="15" customHeight="1">
      <c r="A180" s="165" t="s">
        <v>843</v>
      </c>
      <c r="B180" s="165" t="s">
        <v>843</v>
      </c>
      <c r="C180" s="165" t="s">
        <v>775</v>
      </c>
      <c r="D180" s="165" t="s">
        <v>844</v>
      </c>
      <c r="E180" s="165" t="s">
        <v>519</v>
      </c>
      <c r="F180" s="165" t="s">
        <v>845</v>
      </c>
      <c r="G180" s="165" t="s">
        <v>121</v>
      </c>
      <c r="H180" s="224"/>
      <c r="I180" s="225"/>
      <c r="J180" s="224">
        <v>101.1</v>
      </c>
      <c r="K180" s="226">
        <v>4.4000000000000004</v>
      </c>
      <c r="L180" s="226">
        <v>0.9</v>
      </c>
      <c r="M180" s="226">
        <v>9.1</v>
      </c>
      <c r="N180" s="226">
        <v>2.4</v>
      </c>
      <c r="O180" s="226">
        <v>6.4</v>
      </c>
      <c r="P180" s="226">
        <v>1.1000000000000001</v>
      </c>
      <c r="Q180" s="225">
        <v>1.5</v>
      </c>
      <c r="R180" s="147">
        <v>800</v>
      </c>
      <c r="S180" s="165" t="s">
        <v>846</v>
      </c>
    </row>
    <row r="181" spans="1:19" s="120" customFormat="1" ht="15" customHeight="1">
      <c r="A181" s="166" t="s">
        <v>847</v>
      </c>
      <c r="B181" s="166" t="s">
        <v>847</v>
      </c>
      <c r="C181" s="166" t="s">
        <v>848</v>
      </c>
      <c r="D181" s="166"/>
      <c r="E181" s="166" t="s">
        <v>519</v>
      </c>
      <c r="F181" s="166" t="s">
        <v>849</v>
      </c>
      <c r="G181" s="166" t="s">
        <v>227</v>
      </c>
      <c r="H181" s="227"/>
      <c r="I181" s="229"/>
      <c r="J181" s="227">
        <v>94</v>
      </c>
      <c r="K181" s="228">
        <v>7.2</v>
      </c>
      <c r="L181" s="228">
        <v>2.7</v>
      </c>
      <c r="M181" s="228">
        <v>11.6</v>
      </c>
      <c r="N181" s="228">
        <v>3.3</v>
      </c>
      <c r="O181" s="228">
        <v>5.9</v>
      </c>
      <c r="P181" s="228">
        <v>1.8</v>
      </c>
      <c r="Q181" s="229">
        <v>1.5</v>
      </c>
      <c r="R181" s="119">
        <v>400</v>
      </c>
      <c r="S181" s="166"/>
    </row>
    <row r="182" spans="1:19" ht="15" customHeight="1">
      <c r="A182" s="165" t="s">
        <v>850</v>
      </c>
      <c r="B182" s="165" t="s">
        <v>850</v>
      </c>
      <c r="C182" s="165" t="s">
        <v>775</v>
      </c>
      <c r="D182" s="165"/>
      <c r="E182" s="165" t="s">
        <v>519</v>
      </c>
      <c r="F182" s="168" t="s">
        <v>851</v>
      </c>
      <c r="G182" s="165" t="s">
        <v>227</v>
      </c>
      <c r="H182" s="224"/>
      <c r="I182" s="225"/>
      <c r="J182" s="224">
        <v>112</v>
      </c>
      <c r="K182" s="226">
        <v>4.8</v>
      </c>
      <c r="L182" s="226">
        <v>1.5</v>
      </c>
      <c r="M182" s="226">
        <v>9.5</v>
      </c>
      <c r="N182" s="226">
        <v>1.8</v>
      </c>
      <c r="O182" s="226">
        <v>8.1999999999999993</v>
      </c>
      <c r="P182" s="226">
        <v>0.7</v>
      </c>
      <c r="Q182" s="225">
        <v>1.2</v>
      </c>
      <c r="R182" s="115">
        <v>2500</v>
      </c>
      <c r="S182" s="165"/>
    </row>
    <row r="183" spans="1:19" s="120" customFormat="1" ht="15" customHeight="1">
      <c r="A183" s="166" t="s">
        <v>852</v>
      </c>
      <c r="B183" s="166" t="s">
        <v>852</v>
      </c>
      <c r="C183" s="166" t="s">
        <v>775</v>
      </c>
      <c r="D183" s="166"/>
      <c r="E183" s="166" t="s">
        <v>519</v>
      </c>
      <c r="F183" s="167" t="s">
        <v>853</v>
      </c>
      <c r="G183" s="166" t="s">
        <v>121</v>
      </c>
      <c r="H183" s="227"/>
      <c r="I183" s="229"/>
      <c r="J183" s="227">
        <v>127</v>
      </c>
      <c r="K183" s="228">
        <v>8.9</v>
      </c>
      <c r="L183" s="228">
        <v>3.7</v>
      </c>
      <c r="M183" s="228">
        <v>5.7</v>
      </c>
      <c r="N183" s="228">
        <v>2.4</v>
      </c>
      <c r="O183" s="228">
        <v>6.8</v>
      </c>
      <c r="P183" s="228">
        <v>1.1000000000000001</v>
      </c>
      <c r="Q183" s="229">
        <v>1</v>
      </c>
      <c r="R183" s="119">
        <v>1200</v>
      </c>
      <c r="S183" s="166"/>
    </row>
    <row r="184" spans="1:19" ht="15" customHeight="1">
      <c r="A184" s="165" t="s">
        <v>854</v>
      </c>
      <c r="B184" s="165" t="s">
        <v>854</v>
      </c>
      <c r="C184" s="165" t="s">
        <v>775</v>
      </c>
      <c r="D184" s="165"/>
      <c r="E184" s="165" t="s">
        <v>519</v>
      </c>
      <c r="F184" s="168" t="s">
        <v>855</v>
      </c>
      <c r="G184" s="165" t="s">
        <v>133</v>
      </c>
      <c r="H184" s="224"/>
      <c r="I184" s="225"/>
      <c r="J184" s="224">
        <v>147</v>
      </c>
      <c r="K184" s="226">
        <v>9.6</v>
      </c>
      <c r="L184" s="226">
        <v>3</v>
      </c>
      <c r="M184" s="226">
        <v>5.0999999999999996</v>
      </c>
      <c r="N184" s="226">
        <v>4</v>
      </c>
      <c r="O184" s="226">
        <v>10.3</v>
      </c>
      <c r="P184" s="226">
        <v>1.4</v>
      </c>
      <c r="Q184" s="225">
        <v>0.4</v>
      </c>
      <c r="R184" s="115">
        <v>1200</v>
      </c>
      <c r="S184" s="165"/>
    </row>
    <row r="185" spans="1:19" s="120" customFormat="1" ht="15" customHeight="1">
      <c r="A185" s="166" t="s">
        <v>856</v>
      </c>
      <c r="B185" s="166" t="s">
        <v>856</v>
      </c>
      <c r="C185" s="166" t="s">
        <v>775</v>
      </c>
      <c r="D185" s="166"/>
      <c r="E185" s="166" t="s">
        <v>857</v>
      </c>
      <c r="F185" s="167" t="s">
        <v>858</v>
      </c>
      <c r="G185" s="166" t="s">
        <v>859</v>
      </c>
      <c r="H185" s="227"/>
      <c r="I185" s="229"/>
      <c r="J185" s="227">
        <v>113</v>
      </c>
      <c r="K185" s="228">
        <v>8.5</v>
      </c>
      <c r="L185" s="228">
        <v>5.2</v>
      </c>
      <c r="M185" s="228">
        <v>8.6</v>
      </c>
      <c r="N185" s="228">
        <v>4.8</v>
      </c>
      <c r="O185" s="228">
        <v>2.5</v>
      </c>
      <c r="P185" s="228">
        <v>1.1000000000000001</v>
      </c>
      <c r="Q185" s="229">
        <v>0.4</v>
      </c>
      <c r="R185" s="119">
        <v>350</v>
      </c>
      <c r="S185" s="166"/>
    </row>
    <row r="186" spans="1:19" ht="15" customHeight="1">
      <c r="A186" s="165" t="s">
        <v>860</v>
      </c>
      <c r="B186" s="165" t="s">
        <v>860</v>
      </c>
      <c r="C186" s="165" t="s">
        <v>861</v>
      </c>
      <c r="D186" s="165"/>
      <c r="E186" s="165" t="s">
        <v>249</v>
      </c>
      <c r="F186" s="168" t="s">
        <v>862</v>
      </c>
      <c r="G186" s="165" t="s">
        <v>227</v>
      </c>
      <c r="H186" s="224"/>
      <c r="I186" s="116" t="s">
        <v>863</v>
      </c>
      <c r="J186" s="224">
        <v>123</v>
      </c>
      <c r="K186" s="226">
        <v>0</v>
      </c>
      <c r="L186" s="226">
        <v>0</v>
      </c>
      <c r="M186" s="226">
        <v>29</v>
      </c>
      <c r="N186" s="226">
        <v>25</v>
      </c>
      <c r="O186" s="226">
        <v>0.6</v>
      </c>
      <c r="P186" s="226">
        <v>3.1</v>
      </c>
      <c r="Q186" s="225">
        <v>0</v>
      </c>
      <c r="R186" s="115">
        <v>600</v>
      </c>
      <c r="S186" s="165"/>
    </row>
    <row r="187" spans="1:19" s="120" customFormat="1" ht="15" customHeight="1">
      <c r="A187" s="167" t="s">
        <v>864</v>
      </c>
      <c r="B187" s="167" t="s">
        <v>864</v>
      </c>
      <c r="C187" s="167"/>
      <c r="D187" s="167"/>
      <c r="E187" s="167" t="s">
        <v>514</v>
      </c>
      <c r="F187" s="167" t="s">
        <v>865</v>
      </c>
      <c r="G187" s="167" t="s">
        <v>121</v>
      </c>
      <c r="H187" s="230"/>
      <c r="I187" s="231"/>
      <c r="J187" s="230">
        <v>41</v>
      </c>
      <c r="K187" s="232">
        <v>0.2</v>
      </c>
      <c r="L187" s="232">
        <v>0</v>
      </c>
      <c r="M187" s="232">
        <v>9.6</v>
      </c>
      <c r="N187" s="232">
        <v>4.7</v>
      </c>
      <c r="O187" s="232">
        <v>0.9</v>
      </c>
      <c r="P187" s="232">
        <v>0.1</v>
      </c>
      <c r="Q187" s="231">
        <v>2.8</v>
      </c>
      <c r="R187" s="146">
        <v>250</v>
      </c>
      <c r="S187" s="167" t="s">
        <v>866</v>
      </c>
    </row>
    <row r="188" spans="1:19" ht="15" customHeight="1">
      <c r="A188" s="168" t="s">
        <v>867</v>
      </c>
      <c r="B188" s="168" t="s">
        <v>867</v>
      </c>
      <c r="C188" s="168"/>
      <c r="D188" s="168"/>
      <c r="E188" s="168" t="s">
        <v>514</v>
      </c>
      <c r="F188" s="168" t="s">
        <v>554</v>
      </c>
      <c r="G188" s="168" t="s">
        <v>121</v>
      </c>
      <c r="H188" s="210"/>
      <c r="I188" s="233"/>
      <c r="J188" s="210">
        <v>77</v>
      </c>
      <c r="K188" s="234">
        <v>0.1</v>
      </c>
      <c r="L188" s="234">
        <v>0</v>
      </c>
      <c r="M188" s="234">
        <v>17</v>
      </c>
      <c r="N188" s="234">
        <v>0.8</v>
      </c>
      <c r="O188" s="234">
        <v>2</v>
      </c>
      <c r="P188" s="234">
        <v>0</v>
      </c>
      <c r="Q188" s="233">
        <v>2.2000000000000002</v>
      </c>
      <c r="R188" s="147">
        <v>200</v>
      </c>
      <c r="S188" s="168" t="s">
        <v>866</v>
      </c>
    </row>
    <row r="189" spans="1:19" s="120" customFormat="1" ht="15" customHeight="1">
      <c r="A189" s="167" t="s">
        <v>868</v>
      </c>
      <c r="B189" s="167" t="s">
        <v>868</v>
      </c>
      <c r="C189" s="167"/>
      <c r="D189" s="167"/>
      <c r="E189" s="167" t="s">
        <v>514</v>
      </c>
      <c r="F189" s="167" t="s">
        <v>869</v>
      </c>
      <c r="G189" s="167" t="s">
        <v>121</v>
      </c>
      <c r="H189" s="230"/>
      <c r="I189" s="231"/>
      <c r="J189" s="230">
        <v>40</v>
      </c>
      <c r="K189" s="232">
        <v>0.1</v>
      </c>
      <c r="L189" s="232">
        <v>0</v>
      </c>
      <c r="M189" s="232">
        <v>9.3000000000000007</v>
      </c>
      <c r="N189" s="232">
        <v>4.2</v>
      </c>
      <c r="O189" s="232">
        <v>1.1000000000000001</v>
      </c>
      <c r="P189" s="232">
        <v>0</v>
      </c>
      <c r="Q189" s="231">
        <v>1.7</v>
      </c>
      <c r="R189" s="146">
        <v>250</v>
      </c>
      <c r="S189" s="167" t="s">
        <v>866</v>
      </c>
    </row>
    <row r="190" spans="1:19" ht="15" customHeight="1">
      <c r="A190" s="168" t="s">
        <v>870</v>
      </c>
      <c r="B190" s="168" t="s">
        <v>870</v>
      </c>
      <c r="C190" s="168"/>
      <c r="D190" s="168"/>
      <c r="E190" s="168" t="s">
        <v>514</v>
      </c>
      <c r="F190" s="168" t="s">
        <v>871</v>
      </c>
      <c r="G190" s="168" t="s">
        <v>121</v>
      </c>
      <c r="H190" s="210"/>
      <c r="I190" s="233"/>
      <c r="J190" s="210">
        <v>61</v>
      </c>
      <c r="K190" s="234">
        <v>0.3</v>
      </c>
      <c r="L190" s="234">
        <v>0</v>
      </c>
      <c r="M190" s="234">
        <v>14.2</v>
      </c>
      <c r="N190" s="234">
        <v>3.9</v>
      </c>
      <c r="O190" s="234">
        <v>1.5</v>
      </c>
      <c r="P190" s="234">
        <v>0</v>
      </c>
      <c r="Q190" s="233">
        <v>1.8</v>
      </c>
      <c r="R190" s="147">
        <v>400</v>
      </c>
      <c r="S190" s="168" t="s">
        <v>866</v>
      </c>
    </row>
    <row r="191" spans="1:19" s="120" customFormat="1" ht="15" customHeight="1">
      <c r="A191" s="167" t="s">
        <v>872</v>
      </c>
      <c r="B191" s="167" t="s">
        <v>872</v>
      </c>
      <c r="C191" s="167"/>
      <c r="D191" s="167"/>
      <c r="E191" s="167" t="s">
        <v>225</v>
      </c>
      <c r="F191" s="167" t="s">
        <v>873</v>
      </c>
      <c r="G191" s="167" t="s">
        <v>227</v>
      </c>
      <c r="H191" s="230"/>
      <c r="I191" s="231"/>
      <c r="J191" s="230">
        <v>16</v>
      </c>
      <c r="K191" s="232">
        <v>0.2</v>
      </c>
      <c r="L191" s="232">
        <v>0</v>
      </c>
      <c r="M191" s="232">
        <v>3</v>
      </c>
      <c r="N191" s="232">
        <v>1.3</v>
      </c>
      <c r="O191" s="232">
        <v>0.7</v>
      </c>
      <c r="P191" s="232">
        <v>0.1</v>
      </c>
      <c r="Q191" s="231">
        <v>1.6</v>
      </c>
      <c r="R191" s="146">
        <v>500</v>
      </c>
      <c r="S191" s="167" t="s">
        <v>874</v>
      </c>
    </row>
    <row r="192" spans="1:19" ht="15" customHeight="1">
      <c r="A192" s="168" t="s">
        <v>875</v>
      </c>
      <c r="B192" s="168" t="s">
        <v>875</v>
      </c>
      <c r="C192" s="168"/>
      <c r="D192" s="168"/>
      <c r="E192" s="168" t="s">
        <v>225</v>
      </c>
      <c r="F192" s="168" t="s">
        <v>876</v>
      </c>
      <c r="G192" s="168" t="s">
        <v>121</v>
      </c>
      <c r="H192" s="210"/>
      <c r="I192" s="233"/>
      <c r="J192" s="210">
        <v>149</v>
      </c>
      <c r="K192" s="234">
        <v>0.5</v>
      </c>
      <c r="L192" s="234">
        <v>0.1</v>
      </c>
      <c r="M192" s="234">
        <v>33.1</v>
      </c>
      <c r="N192" s="234">
        <v>1</v>
      </c>
      <c r="O192" s="234">
        <v>6.4</v>
      </c>
      <c r="P192" s="234">
        <v>0</v>
      </c>
      <c r="Q192" s="233">
        <v>2.1</v>
      </c>
      <c r="R192" s="147">
        <v>1500</v>
      </c>
      <c r="S192" s="168" t="s">
        <v>866</v>
      </c>
    </row>
    <row r="193" spans="1:19" s="120" customFormat="1" ht="15" customHeight="1">
      <c r="A193" s="167" t="s">
        <v>877</v>
      </c>
      <c r="B193" s="167" t="s">
        <v>877</v>
      </c>
      <c r="C193" s="167"/>
      <c r="D193" s="167"/>
      <c r="E193" s="167" t="s">
        <v>303</v>
      </c>
      <c r="F193" s="167" t="s">
        <v>877</v>
      </c>
      <c r="G193" s="167" t="s">
        <v>121</v>
      </c>
      <c r="H193" s="230"/>
      <c r="I193" s="231"/>
      <c r="J193" s="230">
        <v>900</v>
      </c>
      <c r="K193" s="232">
        <v>100</v>
      </c>
      <c r="L193" s="232">
        <v>11</v>
      </c>
      <c r="M193" s="232">
        <v>0</v>
      </c>
      <c r="N193" s="232">
        <v>0</v>
      </c>
      <c r="O193" s="232">
        <v>0</v>
      </c>
      <c r="P193" s="232">
        <v>0</v>
      </c>
      <c r="Q193" s="231">
        <v>0</v>
      </c>
      <c r="R193" s="146">
        <v>400</v>
      </c>
      <c r="S193" s="167"/>
    </row>
    <row r="194" spans="1:19" ht="15" customHeight="1">
      <c r="A194" s="168" t="s">
        <v>878</v>
      </c>
      <c r="B194" s="168" t="s">
        <v>878</v>
      </c>
      <c r="C194" s="168"/>
      <c r="D194" s="168"/>
      <c r="E194" s="168" t="s">
        <v>303</v>
      </c>
      <c r="F194" s="168" t="s">
        <v>878</v>
      </c>
      <c r="G194" s="168" t="s">
        <v>121</v>
      </c>
      <c r="H194" s="210"/>
      <c r="I194" s="233"/>
      <c r="J194" s="210">
        <v>0</v>
      </c>
      <c r="K194" s="234">
        <v>0</v>
      </c>
      <c r="L194" s="234">
        <v>0</v>
      </c>
      <c r="M194" s="234">
        <v>0</v>
      </c>
      <c r="N194" s="234">
        <v>0</v>
      </c>
      <c r="O194" s="234">
        <v>0</v>
      </c>
      <c r="P194" s="234">
        <v>0</v>
      </c>
      <c r="Q194" s="233">
        <v>0</v>
      </c>
      <c r="R194" s="115">
        <v>100</v>
      </c>
      <c r="S194" s="168"/>
    </row>
    <row r="195" spans="1:19" s="120" customFormat="1" ht="15" customHeight="1">
      <c r="A195" s="167" t="s">
        <v>879</v>
      </c>
      <c r="B195" s="167" t="s">
        <v>879</v>
      </c>
      <c r="C195" s="167" t="s">
        <v>274</v>
      </c>
      <c r="D195" s="167"/>
      <c r="E195" s="167" t="s">
        <v>275</v>
      </c>
      <c r="F195" s="167" t="s">
        <v>880</v>
      </c>
      <c r="G195" s="167" t="s">
        <v>121</v>
      </c>
      <c r="H195" s="230" t="s">
        <v>881</v>
      </c>
      <c r="I195" s="121" t="s">
        <v>882</v>
      </c>
      <c r="J195" s="230">
        <v>325</v>
      </c>
      <c r="K195" s="232">
        <v>14</v>
      </c>
      <c r="L195" s="232">
        <v>2</v>
      </c>
      <c r="M195" s="232">
        <v>55</v>
      </c>
      <c r="N195" s="232">
        <v>2.8</v>
      </c>
      <c r="O195" s="232">
        <v>14</v>
      </c>
      <c r="P195" s="232">
        <v>0.1</v>
      </c>
      <c r="Q195" s="231">
        <v>33</v>
      </c>
      <c r="R195" s="146">
        <v>3000</v>
      </c>
      <c r="S195" s="167" t="s">
        <v>279</v>
      </c>
    </row>
    <row r="196" spans="1:19" ht="15" customHeight="1">
      <c r="A196" s="168" t="s">
        <v>883</v>
      </c>
      <c r="B196" s="168" t="s">
        <v>883</v>
      </c>
      <c r="C196" s="168" t="s">
        <v>274</v>
      </c>
      <c r="D196" s="168"/>
      <c r="E196" s="168" t="s">
        <v>275</v>
      </c>
      <c r="F196" s="168" t="s">
        <v>884</v>
      </c>
      <c r="G196" s="168" t="s">
        <v>121</v>
      </c>
      <c r="H196" s="210" t="s">
        <v>881</v>
      </c>
      <c r="I196" s="117" t="s">
        <v>885</v>
      </c>
      <c r="J196" s="210">
        <v>282</v>
      </c>
      <c r="K196" s="234">
        <v>13</v>
      </c>
      <c r="L196" s="234">
        <v>2</v>
      </c>
      <c r="M196" s="234">
        <v>54</v>
      </c>
      <c r="N196" s="234">
        <v>10</v>
      </c>
      <c r="O196" s="234">
        <v>14</v>
      </c>
      <c r="P196" s="234">
        <v>0.1</v>
      </c>
      <c r="Q196" s="233">
        <v>35</v>
      </c>
      <c r="R196" s="147">
        <v>3000</v>
      </c>
      <c r="S196" s="168" t="s">
        <v>279</v>
      </c>
    </row>
    <row r="197" spans="1:19" s="120" customFormat="1" ht="15" customHeight="1">
      <c r="A197" s="167" t="s">
        <v>886</v>
      </c>
      <c r="B197" s="167" t="s">
        <v>886</v>
      </c>
      <c r="C197" s="167" t="s">
        <v>887</v>
      </c>
      <c r="D197" s="167"/>
      <c r="E197" s="167" t="s">
        <v>275</v>
      </c>
      <c r="F197" s="167" t="s">
        <v>888</v>
      </c>
      <c r="G197" s="167" t="s">
        <v>121</v>
      </c>
      <c r="H197" s="230" t="s">
        <v>881</v>
      </c>
      <c r="I197" s="121" t="s">
        <v>889</v>
      </c>
      <c r="J197" s="230">
        <v>292</v>
      </c>
      <c r="K197" s="232">
        <v>5.5</v>
      </c>
      <c r="L197" s="232">
        <v>0.9</v>
      </c>
      <c r="M197" s="232">
        <v>50</v>
      </c>
      <c r="N197" s="232">
        <v>4</v>
      </c>
      <c r="O197" s="232">
        <v>26.6</v>
      </c>
      <c r="P197" s="232">
        <v>0.1</v>
      </c>
      <c r="Q197" s="231">
        <v>26.7</v>
      </c>
      <c r="R197" s="146">
        <v>3000</v>
      </c>
      <c r="S197" s="167" t="s">
        <v>279</v>
      </c>
    </row>
    <row r="198" spans="1:19" ht="15" customHeight="1">
      <c r="A198" s="168" t="s">
        <v>890</v>
      </c>
      <c r="B198" s="168" t="s">
        <v>890</v>
      </c>
      <c r="C198" s="168" t="s">
        <v>274</v>
      </c>
      <c r="D198" s="168"/>
      <c r="E198" s="168" t="s">
        <v>275</v>
      </c>
      <c r="F198" s="168" t="s">
        <v>891</v>
      </c>
      <c r="G198" s="168" t="s">
        <v>121</v>
      </c>
      <c r="H198" s="210" t="s">
        <v>881</v>
      </c>
      <c r="I198" s="117" t="s">
        <v>892</v>
      </c>
      <c r="J198" s="210">
        <v>331</v>
      </c>
      <c r="K198" s="234">
        <v>15.2</v>
      </c>
      <c r="L198" s="234">
        <v>7.4</v>
      </c>
      <c r="M198" s="234">
        <v>46.4</v>
      </c>
      <c r="N198" s="234">
        <v>0</v>
      </c>
      <c r="O198" s="234">
        <v>4.9000000000000004</v>
      </c>
      <c r="P198" s="234">
        <v>0</v>
      </c>
      <c r="Q198" s="233">
        <v>42.6</v>
      </c>
      <c r="R198" s="147">
        <v>3000</v>
      </c>
      <c r="S198" s="168" t="s">
        <v>279</v>
      </c>
    </row>
    <row r="199" spans="1:19" s="120" customFormat="1" ht="15" customHeight="1">
      <c r="A199" s="167" t="s">
        <v>893</v>
      </c>
      <c r="B199" s="167" t="s">
        <v>893</v>
      </c>
      <c r="C199" s="167" t="s">
        <v>274</v>
      </c>
      <c r="D199" s="167"/>
      <c r="E199" s="167" t="s">
        <v>275</v>
      </c>
      <c r="F199" s="167" t="s">
        <v>894</v>
      </c>
      <c r="G199" s="167" t="s">
        <v>121</v>
      </c>
      <c r="H199" s="230" t="s">
        <v>881</v>
      </c>
      <c r="I199" s="121" t="s">
        <v>895</v>
      </c>
      <c r="J199" s="230">
        <v>354</v>
      </c>
      <c r="K199" s="232">
        <v>9.9</v>
      </c>
      <c r="L199" s="232">
        <v>3.1</v>
      </c>
      <c r="M199" s="232">
        <v>67.099999999999994</v>
      </c>
      <c r="N199" s="232">
        <v>3.2</v>
      </c>
      <c r="O199" s="232">
        <v>7.8</v>
      </c>
      <c r="P199" s="232">
        <v>0</v>
      </c>
      <c r="Q199" s="231">
        <v>22.7</v>
      </c>
      <c r="R199" s="146">
        <v>3000</v>
      </c>
      <c r="S199" s="167" t="s">
        <v>279</v>
      </c>
    </row>
    <row r="200" spans="1:19" ht="15" customHeight="1">
      <c r="A200" s="168" t="s">
        <v>896</v>
      </c>
      <c r="B200" s="168" t="s">
        <v>896</v>
      </c>
      <c r="C200" s="168" t="s">
        <v>158</v>
      </c>
      <c r="D200" s="168"/>
      <c r="E200" s="168" t="s">
        <v>126</v>
      </c>
      <c r="F200" s="168" t="s">
        <v>897</v>
      </c>
      <c r="G200" s="168" t="s">
        <v>121</v>
      </c>
      <c r="H200" s="210"/>
      <c r="I200" s="233"/>
      <c r="J200" s="210">
        <v>200</v>
      </c>
      <c r="K200" s="234">
        <v>14</v>
      </c>
      <c r="L200" s="234">
        <v>6.5</v>
      </c>
      <c r="M200" s="234">
        <v>0</v>
      </c>
      <c r="N200" s="234">
        <v>0</v>
      </c>
      <c r="O200" s="234">
        <v>17</v>
      </c>
      <c r="P200" s="234">
        <v>0.1</v>
      </c>
      <c r="Q200" s="233">
        <v>0</v>
      </c>
      <c r="R200" s="147">
        <v>3900</v>
      </c>
      <c r="S200" s="168" t="s">
        <v>898</v>
      </c>
    </row>
    <row r="201" spans="1:19" s="120" customFormat="1" ht="15" customHeight="1">
      <c r="A201" s="167" t="s">
        <v>899</v>
      </c>
      <c r="B201" s="167" t="s">
        <v>899</v>
      </c>
      <c r="C201" s="167" t="s">
        <v>900</v>
      </c>
      <c r="D201" s="167"/>
      <c r="E201" s="167" t="s">
        <v>303</v>
      </c>
      <c r="F201" s="167" t="s">
        <v>901</v>
      </c>
      <c r="G201" s="167" t="s">
        <v>30</v>
      </c>
      <c r="H201" s="230" t="s">
        <v>902</v>
      </c>
      <c r="I201" s="231" t="s">
        <v>903</v>
      </c>
      <c r="J201" s="230">
        <v>370</v>
      </c>
      <c r="K201" s="232">
        <v>3.5</v>
      </c>
      <c r="L201" s="232">
        <v>0.8</v>
      </c>
      <c r="M201" s="232">
        <v>71</v>
      </c>
      <c r="N201" s="232">
        <v>2</v>
      </c>
      <c r="O201" s="232">
        <v>13</v>
      </c>
      <c r="P201" s="232">
        <v>0</v>
      </c>
      <c r="Q201" s="231">
        <v>2.5</v>
      </c>
      <c r="R201" s="146">
        <v>500</v>
      </c>
      <c r="S201" s="167" t="s">
        <v>904</v>
      </c>
    </row>
    <row r="202" spans="1:19" ht="15" customHeight="1">
      <c r="A202" s="168" t="s">
        <v>905</v>
      </c>
      <c r="B202" s="168" t="s">
        <v>905</v>
      </c>
      <c r="C202" s="168"/>
      <c r="D202" s="168"/>
      <c r="E202" s="168" t="s">
        <v>249</v>
      </c>
      <c r="F202" s="168" t="s">
        <v>906</v>
      </c>
      <c r="G202" s="168" t="s">
        <v>505</v>
      </c>
      <c r="H202" s="210"/>
      <c r="I202" s="233"/>
      <c r="J202" s="210">
        <v>20</v>
      </c>
      <c r="K202" s="234">
        <v>0</v>
      </c>
      <c r="L202" s="234">
        <v>0</v>
      </c>
      <c r="M202" s="234">
        <v>0.6</v>
      </c>
      <c r="N202" s="234">
        <v>0.4</v>
      </c>
      <c r="O202" s="234">
        <v>0</v>
      </c>
      <c r="P202" s="234">
        <v>0</v>
      </c>
      <c r="Q202" s="233">
        <v>0</v>
      </c>
      <c r="R202" s="147">
        <v>600</v>
      </c>
      <c r="S202" s="168" t="s">
        <v>907</v>
      </c>
    </row>
    <row r="203" spans="1:19" s="120" customFormat="1" ht="15" customHeight="1">
      <c r="A203" s="167" t="s">
        <v>908</v>
      </c>
      <c r="B203" s="167" t="s">
        <v>908</v>
      </c>
      <c r="C203" s="167" t="s">
        <v>558</v>
      </c>
      <c r="D203" s="167"/>
      <c r="E203" s="167" t="s">
        <v>909</v>
      </c>
      <c r="F203" s="167" t="s">
        <v>910</v>
      </c>
      <c r="G203" s="167" t="s">
        <v>108</v>
      </c>
      <c r="H203" s="230"/>
      <c r="I203" s="231"/>
      <c r="J203" s="230">
        <v>340</v>
      </c>
      <c r="K203" s="232">
        <v>35</v>
      </c>
      <c r="L203" s="232">
        <v>22</v>
      </c>
      <c r="M203" s="232">
        <v>3</v>
      </c>
      <c r="N203" s="232">
        <v>3</v>
      </c>
      <c r="O203" s="232">
        <v>2.5</v>
      </c>
      <c r="P203" s="232">
        <v>0</v>
      </c>
      <c r="Q203" s="231">
        <v>0</v>
      </c>
      <c r="R203" s="146">
        <v>900</v>
      </c>
      <c r="S203" s="167" t="s">
        <v>911</v>
      </c>
    </row>
    <row r="204" spans="1:19" ht="15" customHeight="1">
      <c r="A204" s="168" t="s">
        <v>912</v>
      </c>
      <c r="B204" s="168" t="s">
        <v>912</v>
      </c>
      <c r="C204" s="168" t="s">
        <v>274</v>
      </c>
      <c r="D204" s="168"/>
      <c r="E204" s="168" t="s">
        <v>275</v>
      </c>
      <c r="F204" s="168" t="s">
        <v>913</v>
      </c>
      <c r="G204" s="168" t="s">
        <v>121</v>
      </c>
      <c r="H204" s="210" t="s">
        <v>881</v>
      </c>
      <c r="I204" s="117" t="s">
        <v>914</v>
      </c>
      <c r="J204" s="210">
        <v>375</v>
      </c>
      <c r="K204" s="234">
        <v>22.3</v>
      </c>
      <c r="L204" s="234">
        <v>1.3</v>
      </c>
      <c r="M204" s="234">
        <v>44.2</v>
      </c>
      <c r="N204" s="234">
        <v>2.2999999999999998</v>
      </c>
      <c r="O204" s="234">
        <v>17.8</v>
      </c>
      <c r="P204" s="234">
        <v>0.2</v>
      </c>
      <c r="Q204" s="233">
        <v>10.5</v>
      </c>
      <c r="R204" s="147">
        <v>3000</v>
      </c>
      <c r="S204" s="168" t="s">
        <v>907</v>
      </c>
    </row>
    <row r="205" spans="1:19" s="120" customFormat="1" ht="15" customHeight="1">
      <c r="A205" s="167" t="s">
        <v>915</v>
      </c>
      <c r="B205" s="167" t="s">
        <v>915</v>
      </c>
      <c r="C205" s="167" t="s">
        <v>916</v>
      </c>
      <c r="D205" s="167">
        <v>1450025</v>
      </c>
      <c r="E205" s="167" t="s">
        <v>126</v>
      </c>
      <c r="F205" s="167" t="s">
        <v>917</v>
      </c>
      <c r="G205" s="167" t="s">
        <v>121</v>
      </c>
      <c r="H205" s="230"/>
      <c r="I205" s="121" t="s">
        <v>918</v>
      </c>
      <c r="J205" s="230">
        <v>216</v>
      </c>
      <c r="K205" s="232">
        <v>13</v>
      </c>
      <c r="L205" s="232">
        <v>3.7</v>
      </c>
      <c r="M205" s="232">
        <v>0</v>
      </c>
      <c r="N205" s="232">
        <v>0</v>
      </c>
      <c r="O205" s="232">
        <v>24</v>
      </c>
      <c r="P205" s="232">
        <v>0.2</v>
      </c>
      <c r="Q205" s="231"/>
      <c r="R205" s="119">
        <v>2500</v>
      </c>
      <c r="S205" s="167" t="s">
        <v>919</v>
      </c>
    </row>
    <row r="206" spans="1:19" ht="15" customHeight="1">
      <c r="A206" s="168" t="s">
        <v>920</v>
      </c>
      <c r="B206" s="168" t="s">
        <v>920</v>
      </c>
      <c r="C206" s="168" t="s">
        <v>921</v>
      </c>
      <c r="D206" s="168" t="s">
        <v>922</v>
      </c>
      <c r="E206" s="168" t="s">
        <v>249</v>
      </c>
      <c r="F206" s="168" t="s">
        <v>923</v>
      </c>
      <c r="G206" s="168" t="s">
        <v>227</v>
      </c>
      <c r="H206" s="210"/>
      <c r="I206" s="117" t="s">
        <v>924</v>
      </c>
      <c r="J206" s="210">
        <v>237</v>
      </c>
      <c r="K206" s="234">
        <v>1.2</v>
      </c>
      <c r="L206" s="234">
        <v>0.1</v>
      </c>
      <c r="M206" s="234">
        <v>41</v>
      </c>
      <c r="N206" s="234">
        <v>28.8</v>
      </c>
      <c r="O206" s="234">
        <v>15.6</v>
      </c>
      <c r="P206" s="234">
        <v>35</v>
      </c>
      <c r="Q206" s="233">
        <v>0.1</v>
      </c>
      <c r="R206" s="147">
        <v>600</v>
      </c>
      <c r="S206" s="168" t="s">
        <v>925</v>
      </c>
    </row>
    <row r="207" spans="1:19" s="120" customFormat="1" ht="15" customHeight="1">
      <c r="A207" s="167" t="s">
        <v>926</v>
      </c>
      <c r="B207" s="167" t="s">
        <v>926</v>
      </c>
      <c r="C207" s="167" t="s">
        <v>643</v>
      </c>
      <c r="D207" s="167"/>
      <c r="E207" s="167" t="s">
        <v>303</v>
      </c>
      <c r="F207" s="167" t="s">
        <v>927</v>
      </c>
      <c r="G207" s="167" t="s">
        <v>30</v>
      </c>
      <c r="H207" s="230" t="s">
        <v>928</v>
      </c>
      <c r="I207" s="121" t="s">
        <v>929</v>
      </c>
      <c r="J207" s="230">
        <v>353</v>
      </c>
      <c r="K207" s="232">
        <v>1.2</v>
      </c>
      <c r="L207" s="232">
        <v>0.2</v>
      </c>
      <c r="M207" s="232">
        <v>72</v>
      </c>
      <c r="N207" s="232">
        <v>2.5</v>
      </c>
      <c r="O207" s="232">
        <v>12</v>
      </c>
      <c r="P207" s="232">
        <v>0</v>
      </c>
      <c r="Q207" s="231">
        <v>3</v>
      </c>
      <c r="R207" s="146">
        <v>500</v>
      </c>
      <c r="S207" s="167" t="s">
        <v>930</v>
      </c>
    </row>
    <row r="208" spans="1:19" ht="15" customHeight="1">
      <c r="A208" s="168" t="s">
        <v>931</v>
      </c>
      <c r="B208" s="168" t="s">
        <v>931</v>
      </c>
      <c r="C208" s="168" t="s">
        <v>932</v>
      </c>
      <c r="D208" s="168"/>
      <c r="E208" s="168" t="s">
        <v>909</v>
      </c>
      <c r="F208" s="168" t="s">
        <v>933</v>
      </c>
      <c r="G208" s="168" t="s">
        <v>108</v>
      </c>
      <c r="H208" s="210"/>
      <c r="I208" s="117" t="s">
        <v>934</v>
      </c>
      <c r="J208" s="210">
        <v>357</v>
      </c>
      <c r="K208" s="234">
        <v>29</v>
      </c>
      <c r="L208" s="234">
        <v>16</v>
      </c>
      <c r="M208" s="234">
        <v>0</v>
      </c>
      <c r="N208" s="234">
        <v>0</v>
      </c>
      <c r="O208" s="234">
        <v>24</v>
      </c>
      <c r="P208" s="234">
        <v>1.5</v>
      </c>
      <c r="Q208" s="233">
        <v>0</v>
      </c>
      <c r="R208" s="115">
        <v>2900</v>
      </c>
      <c r="S208" s="168"/>
    </row>
    <row r="209" spans="1:19" s="120" customFormat="1" ht="15" customHeight="1">
      <c r="A209" s="167" t="s">
        <v>935</v>
      </c>
      <c r="B209" s="167" t="s">
        <v>935</v>
      </c>
      <c r="C209" s="167" t="s">
        <v>936</v>
      </c>
      <c r="D209" s="167"/>
      <c r="E209" s="167" t="s">
        <v>909</v>
      </c>
      <c r="F209" s="167" t="s">
        <v>937</v>
      </c>
      <c r="G209" s="167" t="s">
        <v>938</v>
      </c>
      <c r="I209" s="122" t="s">
        <v>939</v>
      </c>
      <c r="J209" s="230">
        <v>398</v>
      </c>
      <c r="K209" s="232">
        <v>29</v>
      </c>
      <c r="L209" s="232">
        <v>18</v>
      </c>
      <c r="M209" s="232">
        <v>0</v>
      </c>
      <c r="N209" s="232">
        <v>0</v>
      </c>
      <c r="O209" s="232">
        <v>33</v>
      </c>
      <c r="P209" s="232">
        <v>1.5</v>
      </c>
      <c r="Q209" s="231">
        <v>0</v>
      </c>
      <c r="R209" s="146">
        <v>3500</v>
      </c>
      <c r="S209" s="167" t="s">
        <v>940</v>
      </c>
    </row>
    <row r="210" spans="1:19" ht="15" customHeight="1">
      <c r="A210" s="168" t="s">
        <v>941</v>
      </c>
      <c r="B210" s="168" t="s">
        <v>941</v>
      </c>
      <c r="C210" s="168" t="s">
        <v>643</v>
      </c>
      <c r="D210" s="168"/>
      <c r="E210" s="168" t="s">
        <v>514</v>
      </c>
      <c r="F210" s="168" t="s">
        <v>942</v>
      </c>
      <c r="G210" s="168" t="s">
        <v>943</v>
      </c>
      <c r="I210" s="118" t="s">
        <v>944</v>
      </c>
      <c r="J210" s="210">
        <v>86</v>
      </c>
      <c r="K210" s="234">
        <v>1.2</v>
      </c>
      <c r="L210" s="234">
        <v>0.2</v>
      </c>
      <c r="M210" s="234">
        <v>19</v>
      </c>
      <c r="N210" s="234">
        <v>3.2</v>
      </c>
      <c r="O210" s="234">
        <v>3.2</v>
      </c>
      <c r="P210" s="234">
        <v>0.1</v>
      </c>
      <c r="Q210" s="233">
        <v>2</v>
      </c>
      <c r="R210" s="115">
        <v>300</v>
      </c>
      <c r="S210" s="168"/>
    </row>
    <row r="211" spans="1:19" s="120" customFormat="1" ht="15" customHeight="1">
      <c r="A211" s="167" t="s">
        <v>945</v>
      </c>
      <c r="B211" s="167" t="s">
        <v>945</v>
      </c>
      <c r="C211" s="167"/>
      <c r="D211" s="167"/>
      <c r="E211" s="167" t="s">
        <v>946</v>
      </c>
      <c r="F211" s="167" t="s">
        <v>947</v>
      </c>
      <c r="G211" s="167" t="s">
        <v>943</v>
      </c>
      <c r="H211" s="230"/>
      <c r="I211" s="231"/>
      <c r="J211" s="230">
        <v>350</v>
      </c>
      <c r="K211" s="232">
        <v>2</v>
      </c>
      <c r="L211" s="232">
        <v>0.4</v>
      </c>
      <c r="M211" s="232">
        <v>74</v>
      </c>
      <c r="N211" s="232">
        <v>0.5</v>
      </c>
      <c r="O211" s="232">
        <v>5</v>
      </c>
      <c r="P211" s="232">
        <v>0</v>
      </c>
      <c r="Q211" s="231">
        <v>3</v>
      </c>
      <c r="R211" s="146">
        <v>900</v>
      </c>
      <c r="S211" s="167" t="s">
        <v>948</v>
      </c>
    </row>
    <row r="212" spans="1:19" ht="15" customHeight="1">
      <c r="A212" s="168" t="s">
        <v>949</v>
      </c>
      <c r="B212" s="168" t="s">
        <v>949</v>
      </c>
      <c r="C212" s="168"/>
      <c r="D212" s="168"/>
      <c r="E212" s="168" t="s">
        <v>514</v>
      </c>
      <c r="F212" s="168" t="s">
        <v>950</v>
      </c>
      <c r="G212" s="168" t="s">
        <v>943</v>
      </c>
      <c r="H212" s="210"/>
      <c r="I212" s="233"/>
      <c r="J212" s="210">
        <v>34</v>
      </c>
      <c r="K212" s="234">
        <v>0.4</v>
      </c>
      <c r="L212" s="234">
        <v>0.1</v>
      </c>
      <c r="M212" s="234">
        <v>7</v>
      </c>
      <c r="N212" s="234">
        <v>1.7</v>
      </c>
      <c r="O212" s="234">
        <v>2.8</v>
      </c>
      <c r="P212" s="234">
        <v>0</v>
      </c>
      <c r="Q212" s="233">
        <v>2.6</v>
      </c>
      <c r="R212" s="147">
        <v>600</v>
      </c>
      <c r="S212" s="168" t="s">
        <v>866</v>
      </c>
    </row>
    <row r="213" spans="1:19" s="120" customFormat="1" ht="15" customHeight="1">
      <c r="A213" s="167" t="s">
        <v>951</v>
      </c>
      <c r="B213" s="167" t="s">
        <v>951</v>
      </c>
      <c r="C213" s="167"/>
      <c r="D213" s="167"/>
      <c r="E213" s="167" t="s">
        <v>514</v>
      </c>
      <c r="F213" s="167" t="s">
        <v>952</v>
      </c>
      <c r="G213" s="167" t="s">
        <v>943</v>
      </c>
      <c r="H213" s="230"/>
      <c r="I213" s="231"/>
      <c r="J213" s="230">
        <v>15</v>
      </c>
      <c r="K213" s="232">
        <v>0.1</v>
      </c>
      <c r="L213" s="232">
        <v>0</v>
      </c>
      <c r="M213" s="232">
        <v>3.6</v>
      </c>
      <c r="N213" s="232">
        <v>1.7</v>
      </c>
      <c r="O213" s="232">
        <v>0.7</v>
      </c>
      <c r="P213" s="232">
        <v>0</v>
      </c>
      <c r="Q213" s="231">
        <v>0.5</v>
      </c>
      <c r="R213" s="146">
        <v>400</v>
      </c>
      <c r="S213" s="167" t="s">
        <v>953</v>
      </c>
    </row>
    <row r="214" spans="1:19" s="120" customFormat="1" ht="15" customHeight="1">
      <c r="A214" s="167" t="s">
        <v>954</v>
      </c>
      <c r="B214" s="167" t="s">
        <v>954</v>
      </c>
      <c r="C214" s="167"/>
      <c r="D214" s="167"/>
      <c r="E214" s="167" t="s">
        <v>225</v>
      </c>
      <c r="F214" s="167" t="s">
        <v>955</v>
      </c>
      <c r="G214" s="167" t="s">
        <v>943</v>
      </c>
      <c r="H214" s="230"/>
      <c r="I214" s="231"/>
      <c r="J214" s="230">
        <v>31</v>
      </c>
      <c r="K214" s="232">
        <v>0.3</v>
      </c>
      <c r="L214" s="232">
        <v>0</v>
      </c>
      <c r="M214" s="232">
        <v>6</v>
      </c>
      <c r="N214" s="232">
        <v>4.2</v>
      </c>
      <c r="O214" s="232">
        <v>1</v>
      </c>
      <c r="P214" s="232">
        <v>0</v>
      </c>
      <c r="Q214" s="231">
        <v>2.1</v>
      </c>
      <c r="R214" s="146">
        <v>800</v>
      </c>
      <c r="S214" s="167" t="s">
        <v>866</v>
      </c>
    </row>
    <row r="215" spans="1:19" ht="15" customHeight="1">
      <c r="A215" s="168" t="s">
        <v>956</v>
      </c>
      <c r="B215" s="168" t="s">
        <v>956</v>
      </c>
      <c r="C215" s="168" t="s">
        <v>274</v>
      </c>
      <c r="D215" s="168"/>
      <c r="E215" s="168" t="s">
        <v>275</v>
      </c>
      <c r="F215" s="168" t="s">
        <v>957</v>
      </c>
      <c r="G215" s="168" t="s">
        <v>133</v>
      </c>
      <c r="H215" s="210" t="s">
        <v>881</v>
      </c>
      <c r="I215" s="117" t="s">
        <v>958</v>
      </c>
      <c r="J215" s="210">
        <v>255</v>
      </c>
      <c r="K215" s="234">
        <v>3.3</v>
      </c>
      <c r="L215" s="234">
        <v>0.9</v>
      </c>
      <c r="M215" s="234">
        <v>64</v>
      </c>
      <c r="N215" s="234">
        <v>0.6</v>
      </c>
      <c r="O215" s="234">
        <v>10.4</v>
      </c>
      <c r="P215" s="234">
        <v>0</v>
      </c>
      <c r="Q215" s="233">
        <v>26.5</v>
      </c>
      <c r="R215" s="147">
        <v>3000</v>
      </c>
      <c r="S215" s="168" t="s">
        <v>907</v>
      </c>
    </row>
    <row r="216" spans="1:19" s="120" customFormat="1" ht="15" customHeight="1">
      <c r="A216" s="167" t="s">
        <v>959</v>
      </c>
      <c r="B216" s="167" t="s">
        <v>959</v>
      </c>
      <c r="C216" s="167" t="s">
        <v>274</v>
      </c>
      <c r="D216" s="167" t="s">
        <v>960</v>
      </c>
      <c r="E216" s="167" t="s">
        <v>275</v>
      </c>
      <c r="F216" s="167" t="s">
        <v>961</v>
      </c>
      <c r="G216" s="167" t="s">
        <v>133</v>
      </c>
      <c r="H216" s="230" t="s">
        <v>881</v>
      </c>
      <c r="I216" s="121" t="s">
        <v>962</v>
      </c>
      <c r="J216" s="230">
        <v>200</v>
      </c>
      <c r="K216" s="232">
        <v>2</v>
      </c>
      <c r="L216" s="232">
        <v>0.5</v>
      </c>
      <c r="M216" s="232">
        <v>40</v>
      </c>
      <c r="N216" s="232">
        <v>5</v>
      </c>
      <c r="O216" s="232">
        <v>8</v>
      </c>
      <c r="P216" s="232">
        <v>15</v>
      </c>
      <c r="Q216" s="231">
        <v>20</v>
      </c>
      <c r="R216" s="146">
        <v>3000</v>
      </c>
      <c r="S216" s="167" t="s">
        <v>963</v>
      </c>
    </row>
    <row r="217" spans="1:19" ht="15" customHeight="1">
      <c r="A217" s="168" t="s">
        <v>964</v>
      </c>
      <c r="B217" s="168" t="s">
        <v>964</v>
      </c>
      <c r="C217" s="168"/>
      <c r="D217" s="168"/>
      <c r="E217" s="168" t="s">
        <v>303</v>
      </c>
      <c r="F217" s="168" t="s">
        <v>965</v>
      </c>
      <c r="G217" s="168" t="s">
        <v>943</v>
      </c>
      <c r="H217" s="210"/>
      <c r="I217" s="117" t="s">
        <v>966</v>
      </c>
      <c r="J217" s="210">
        <v>400</v>
      </c>
      <c r="K217" s="234">
        <v>0</v>
      </c>
      <c r="L217" s="234">
        <v>0</v>
      </c>
      <c r="M217" s="234">
        <v>100</v>
      </c>
      <c r="N217" s="234">
        <v>100</v>
      </c>
      <c r="O217" s="234">
        <v>0</v>
      </c>
      <c r="P217" s="234">
        <v>0</v>
      </c>
      <c r="Q217" s="233">
        <v>0</v>
      </c>
      <c r="R217" s="147">
        <v>400</v>
      </c>
      <c r="S217" s="168" t="s">
        <v>907</v>
      </c>
    </row>
    <row r="218" spans="1:19" s="120" customFormat="1" ht="15" customHeight="1">
      <c r="A218" s="167" t="s">
        <v>967</v>
      </c>
      <c r="B218" s="167" t="s">
        <v>967</v>
      </c>
      <c r="C218" s="167"/>
      <c r="D218" s="167"/>
      <c r="E218" s="167" t="s">
        <v>514</v>
      </c>
      <c r="F218" s="167" t="s">
        <v>968</v>
      </c>
      <c r="G218" s="167" t="s">
        <v>943</v>
      </c>
      <c r="H218" s="230"/>
      <c r="I218" s="231"/>
      <c r="J218" s="230">
        <v>18</v>
      </c>
      <c r="K218" s="232">
        <v>0.2</v>
      </c>
      <c r="L218" s="232">
        <v>0</v>
      </c>
      <c r="M218" s="232">
        <v>3.9</v>
      </c>
      <c r="N218" s="232">
        <v>2.6</v>
      </c>
      <c r="O218" s="232">
        <v>0.9</v>
      </c>
      <c r="P218" s="232">
        <v>0</v>
      </c>
      <c r="Q218" s="231">
        <v>1.2</v>
      </c>
      <c r="R218" s="146">
        <v>500</v>
      </c>
      <c r="S218" s="167" t="s">
        <v>866</v>
      </c>
    </row>
    <row r="219" spans="1:19" ht="15" customHeight="1">
      <c r="A219" s="168" t="s">
        <v>969</v>
      </c>
      <c r="B219" s="168" t="s">
        <v>969</v>
      </c>
      <c r="C219" s="168" t="s">
        <v>775</v>
      </c>
      <c r="D219" s="168"/>
      <c r="E219" s="168" t="s">
        <v>249</v>
      </c>
      <c r="F219" s="168" t="s">
        <v>970</v>
      </c>
      <c r="G219" s="168" t="s">
        <v>971</v>
      </c>
      <c r="H219" s="210"/>
      <c r="I219" s="233"/>
      <c r="J219" s="210">
        <v>79</v>
      </c>
      <c r="K219" s="234">
        <v>3.7</v>
      </c>
      <c r="L219" s="234">
        <v>2.1</v>
      </c>
      <c r="M219" s="234">
        <v>5</v>
      </c>
      <c r="N219" s="234">
        <v>3.1</v>
      </c>
      <c r="O219" s="234">
        <v>3.2</v>
      </c>
      <c r="P219" s="234">
        <v>0.8</v>
      </c>
      <c r="Q219" s="233">
        <v>0</v>
      </c>
      <c r="R219" s="115">
        <v>750</v>
      </c>
      <c r="S219" s="168"/>
    </row>
    <row r="220" spans="1:19" s="120" customFormat="1" ht="15" customHeight="1">
      <c r="A220" s="167" t="s">
        <v>972</v>
      </c>
      <c r="B220" s="167" t="s">
        <v>972</v>
      </c>
      <c r="C220" s="167" t="s">
        <v>41</v>
      </c>
      <c r="D220" s="167">
        <v>1114</v>
      </c>
      <c r="E220" s="167" t="s">
        <v>22</v>
      </c>
      <c r="F220" s="167" t="s">
        <v>973</v>
      </c>
      <c r="G220" s="167" t="s">
        <v>974</v>
      </c>
      <c r="H220" s="230" t="s">
        <v>975</v>
      </c>
      <c r="I220" s="121" t="s">
        <v>976</v>
      </c>
      <c r="J220" s="230">
        <v>257</v>
      </c>
      <c r="K220" s="232">
        <v>4.5999999999999996</v>
      </c>
      <c r="L220" s="232">
        <v>0.6</v>
      </c>
      <c r="M220" s="232">
        <v>42</v>
      </c>
      <c r="N220" s="232">
        <v>0.4</v>
      </c>
      <c r="O220" s="232">
        <v>9.1999999999999993</v>
      </c>
      <c r="P220" s="232">
        <v>1.3</v>
      </c>
      <c r="Q220" s="231">
        <v>4.7</v>
      </c>
      <c r="R220" s="119">
        <v>600</v>
      </c>
      <c r="S220" s="167"/>
    </row>
    <row r="221" spans="1:19" ht="15" customHeight="1">
      <c r="A221" s="168" t="s">
        <v>977</v>
      </c>
      <c r="B221" s="168" t="s">
        <v>977</v>
      </c>
      <c r="C221" s="168" t="s">
        <v>41</v>
      </c>
      <c r="D221" s="168">
        <v>1033</v>
      </c>
      <c r="E221" s="168" t="s">
        <v>22</v>
      </c>
      <c r="F221" s="168" t="s">
        <v>978</v>
      </c>
      <c r="G221" s="168" t="s">
        <v>36</v>
      </c>
      <c r="H221" s="210" t="s">
        <v>979</v>
      </c>
      <c r="I221" s="117" t="s">
        <v>980</v>
      </c>
      <c r="J221" s="210">
        <v>266</v>
      </c>
      <c r="K221" s="234">
        <v>1.6</v>
      </c>
      <c r="L221" s="234">
        <v>0.4</v>
      </c>
      <c r="M221" s="234">
        <v>50</v>
      </c>
      <c r="N221" s="234">
        <v>1.7</v>
      </c>
      <c r="O221" s="234">
        <v>10</v>
      </c>
      <c r="P221" s="234">
        <v>1.1000000000000001</v>
      </c>
      <c r="Q221" s="233">
        <v>4</v>
      </c>
      <c r="R221" s="115">
        <v>600</v>
      </c>
      <c r="S221" s="168"/>
    </row>
    <row r="222" spans="1:19" s="120" customFormat="1" ht="15" customHeight="1">
      <c r="A222" s="166" t="s">
        <v>981</v>
      </c>
      <c r="B222" s="166" t="s">
        <v>981</v>
      </c>
      <c r="C222" s="166"/>
      <c r="D222" s="166"/>
      <c r="E222" s="166" t="s">
        <v>479</v>
      </c>
      <c r="F222" s="166" t="s">
        <v>982</v>
      </c>
      <c r="G222" s="166" t="s">
        <v>943</v>
      </c>
      <c r="H222" s="227"/>
      <c r="I222" s="229"/>
      <c r="J222" s="227"/>
      <c r="K222" s="228"/>
      <c r="L222" s="228"/>
      <c r="M222" s="228"/>
      <c r="N222" s="228"/>
      <c r="O222" s="228"/>
      <c r="P222" s="228"/>
      <c r="Q222" s="229"/>
      <c r="R222" s="119">
        <v>450</v>
      </c>
      <c r="S222" s="166" t="s">
        <v>983</v>
      </c>
    </row>
    <row r="223" spans="1:19" ht="15" customHeight="1">
      <c r="A223" s="165" t="s">
        <v>984</v>
      </c>
      <c r="B223" s="165" t="s">
        <v>984</v>
      </c>
      <c r="C223" s="165" t="s">
        <v>274</v>
      </c>
      <c r="D223" s="165"/>
      <c r="E223" s="165" t="s">
        <v>275</v>
      </c>
      <c r="F223" s="165" t="s">
        <v>985</v>
      </c>
      <c r="G223" s="165" t="s">
        <v>121</v>
      </c>
      <c r="H223" s="224" t="s">
        <v>277</v>
      </c>
      <c r="I223" s="116" t="s">
        <v>986</v>
      </c>
      <c r="J223" s="224">
        <v>282</v>
      </c>
      <c r="K223" s="226">
        <v>12</v>
      </c>
      <c r="L223" s="226">
        <v>2</v>
      </c>
      <c r="M223" s="226">
        <v>50</v>
      </c>
      <c r="N223" s="226">
        <v>10</v>
      </c>
      <c r="O223" s="226">
        <v>14</v>
      </c>
      <c r="P223" s="226">
        <v>0.1</v>
      </c>
      <c r="Q223" s="225">
        <v>35</v>
      </c>
      <c r="R223" s="147">
        <v>3000</v>
      </c>
      <c r="S223" s="165" t="s">
        <v>987</v>
      </c>
    </row>
    <row r="224" spans="1:19" s="120" customFormat="1" ht="15" customHeight="1">
      <c r="A224" s="166" t="s">
        <v>988</v>
      </c>
      <c r="B224" s="166" t="s">
        <v>988</v>
      </c>
      <c r="C224" s="166" t="s">
        <v>274</v>
      </c>
      <c r="D224" s="166"/>
      <c r="E224" s="166" t="s">
        <v>275</v>
      </c>
      <c r="F224" s="166" t="s">
        <v>989</v>
      </c>
      <c r="G224" s="166" t="s">
        <v>121</v>
      </c>
      <c r="H224" s="227"/>
      <c r="I224" s="123" t="s">
        <v>990</v>
      </c>
      <c r="J224" s="227">
        <v>282</v>
      </c>
      <c r="K224" s="228">
        <v>13</v>
      </c>
      <c r="L224" s="228">
        <v>2</v>
      </c>
      <c r="M224" s="228">
        <v>54</v>
      </c>
      <c r="N224" s="228">
        <v>10</v>
      </c>
      <c r="O224" s="228">
        <v>14</v>
      </c>
      <c r="P224" s="228">
        <v>0.1</v>
      </c>
      <c r="Q224" s="229">
        <v>35</v>
      </c>
      <c r="R224" s="146">
        <v>3000</v>
      </c>
      <c r="S224" s="166" t="s">
        <v>991</v>
      </c>
    </row>
    <row r="225" spans="1:19" ht="15" customHeight="1">
      <c r="A225" s="165" t="s">
        <v>992</v>
      </c>
      <c r="B225" s="165" t="s">
        <v>992</v>
      </c>
      <c r="C225" s="165" t="s">
        <v>993</v>
      </c>
      <c r="D225" s="165"/>
      <c r="E225" s="165" t="s">
        <v>994</v>
      </c>
      <c r="F225" s="165" t="s">
        <v>995</v>
      </c>
      <c r="G225" s="165" t="s">
        <v>671</v>
      </c>
      <c r="H225" s="224"/>
      <c r="I225" s="116" t="s">
        <v>996</v>
      </c>
      <c r="J225" s="224">
        <v>130</v>
      </c>
      <c r="K225" s="226">
        <v>8</v>
      </c>
      <c r="L225" s="226">
        <v>0.5</v>
      </c>
      <c r="M225" s="226">
        <v>6</v>
      </c>
      <c r="N225" s="226">
        <v>2</v>
      </c>
      <c r="O225" s="226">
        <v>6</v>
      </c>
      <c r="P225" s="226">
        <v>4.5</v>
      </c>
      <c r="Q225" s="225">
        <v>3</v>
      </c>
      <c r="R225" s="147">
        <v>600</v>
      </c>
      <c r="S225" s="165"/>
    </row>
    <row r="226" spans="1:19" s="120" customFormat="1" ht="15" customHeight="1">
      <c r="A226" s="166" t="s">
        <v>997</v>
      </c>
      <c r="B226" s="166" t="s">
        <v>997</v>
      </c>
      <c r="C226" s="166" t="s">
        <v>998</v>
      </c>
      <c r="D226" s="166"/>
      <c r="E226" s="166" t="s">
        <v>126</v>
      </c>
      <c r="F226" s="166" t="s">
        <v>999</v>
      </c>
      <c r="G226" s="166" t="s">
        <v>121</v>
      </c>
      <c r="H226" s="227"/>
      <c r="I226" s="229"/>
      <c r="J226" s="227">
        <v>179</v>
      </c>
      <c r="K226" s="228">
        <v>11</v>
      </c>
      <c r="L226" s="228">
        <v>3.1</v>
      </c>
      <c r="M226" s="228">
        <v>0</v>
      </c>
      <c r="N226" s="228">
        <v>0</v>
      </c>
      <c r="O226" s="228">
        <v>20</v>
      </c>
      <c r="P226" s="228">
        <v>0.3</v>
      </c>
      <c r="Q226" s="229">
        <v>0</v>
      </c>
      <c r="R226" s="146">
        <v>3200</v>
      </c>
      <c r="S226" s="166" t="s">
        <v>1000</v>
      </c>
    </row>
    <row r="227" spans="1:19" ht="15" customHeight="1">
      <c r="A227" s="165" t="s">
        <v>1001</v>
      </c>
      <c r="B227" s="165" t="s">
        <v>1001</v>
      </c>
      <c r="C227" s="165" t="s">
        <v>1002</v>
      </c>
      <c r="D227" s="165" t="s">
        <v>1003</v>
      </c>
      <c r="E227" s="165" t="s">
        <v>514</v>
      </c>
      <c r="F227" s="165" t="s">
        <v>1004</v>
      </c>
      <c r="G227" s="165" t="s">
        <v>121</v>
      </c>
      <c r="H227" s="224"/>
      <c r="I227" s="116" t="s">
        <v>1005</v>
      </c>
      <c r="J227" s="224">
        <v>69</v>
      </c>
      <c r="K227" s="226">
        <v>2.1</v>
      </c>
      <c r="L227" s="226">
        <v>0.3</v>
      </c>
      <c r="M227" s="226">
        <v>10.5</v>
      </c>
      <c r="N227" s="226">
        <v>1</v>
      </c>
      <c r="O227" s="226">
        <v>1</v>
      </c>
      <c r="P227" s="226">
        <v>0.1</v>
      </c>
      <c r="Q227" s="225">
        <v>2.8</v>
      </c>
      <c r="R227" s="147">
        <v>400</v>
      </c>
      <c r="S227" s="165" t="s">
        <v>1006</v>
      </c>
    </row>
    <row r="228" spans="1:19" ht="15" customHeight="1">
      <c r="A228" s="80" t="s">
        <v>1007</v>
      </c>
      <c r="B228" s="80" t="s">
        <v>1007</v>
      </c>
      <c r="C228" s="160" t="s">
        <v>1008</v>
      </c>
      <c r="D228" s="160">
        <v>310005</v>
      </c>
      <c r="E228" s="160" t="s">
        <v>994</v>
      </c>
      <c r="F228" s="160" t="s">
        <v>1009</v>
      </c>
      <c r="G228" s="160" t="s">
        <v>133</v>
      </c>
      <c r="H228" s="204"/>
      <c r="I228" s="90" t="s">
        <v>1010</v>
      </c>
      <c r="J228" s="204">
        <v>477</v>
      </c>
      <c r="K228" s="205">
        <v>49</v>
      </c>
      <c r="L228" s="205">
        <v>3.2</v>
      </c>
      <c r="M228" s="205">
        <v>10</v>
      </c>
      <c r="N228" s="205">
        <v>8.6</v>
      </c>
      <c r="O228" s="205">
        <v>0.9</v>
      </c>
      <c r="P228" s="205">
        <v>1.3</v>
      </c>
      <c r="Q228" s="206">
        <v>0</v>
      </c>
      <c r="R228" s="145">
        <v>1800</v>
      </c>
      <c r="S228" s="160" t="s">
        <v>1011</v>
      </c>
    </row>
    <row r="229" spans="1:19" ht="15" customHeight="1">
      <c r="A229" s="161" t="s">
        <v>1012</v>
      </c>
      <c r="B229" s="161" t="s">
        <v>1012</v>
      </c>
      <c r="C229" s="161" t="s">
        <v>1008</v>
      </c>
      <c r="D229" s="161">
        <v>310006</v>
      </c>
      <c r="E229" s="161" t="s">
        <v>1013</v>
      </c>
      <c r="F229" s="161" t="s">
        <v>1014</v>
      </c>
      <c r="G229" s="161" t="s">
        <v>133</v>
      </c>
      <c r="H229" s="207"/>
      <c r="I229" s="90" t="s">
        <v>1015</v>
      </c>
      <c r="J229" s="207">
        <v>521</v>
      </c>
      <c r="K229" s="208">
        <v>57</v>
      </c>
      <c r="L229" s="208">
        <v>3.7</v>
      </c>
      <c r="M229" s="208">
        <v>4.0999999999999996</v>
      </c>
      <c r="N229" s="208">
        <v>2.4</v>
      </c>
      <c r="O229" s="208">
        <v>0.5</v>
      </c>
      <c r="P229" s="208">
        <v>1.2</v>
      </c>
      <c r="Q229" s="209">
        <v>0</v>
      </c>
      <c r="R229" s="145">
        <v>1900</v>
      </c>
      <c r="S229" s="160" t="s">
        <v>1011</v>
      </c>
    </row>
    <row r="230" spans="1:19" ht="15" customHeight="1">
      <c r="A230" s="169" t="s">
        <v>1016</v>
      </c>
      <c r="B230" s="169" t="s">
        <v>1016</v>
      </c>
      <c r="C230" s="160" t="s">
        <v>775</v>
      </c>
      <c r="D230" s="160"/>
      <c r="E230" s="160" t="s">
        <v>519</v>
      </c>
      <c r="F230" s="160" t="s">
        <v>1017</v>
      </c>
      <c r="G230" s="160" t="s">
        <v>121</v>
      </c>
      <c r="H230" s="204"/>
      <c r="I230" s="233"/>
      <c r="J230" s="204">
        <v>79</v>
      </c>
      <c r="K230" s="205">
        <v>2</v>
      </c>
      <c r="L230" s="205">
        <v>0.2</v>
      </c>
      <c r="M230" s="205">
        <v>11</v>
      </c>
      <c r="N230" s="205">
        <v>3.7</v>
      </c>
      <c r="O230" s="205">
        <v>5</v>
      </c>
      <c r="P230" s="205">
        <v>2.4</v>
      </c>
      <c r="Q230" s="206">
        <v>2</v>
      </c>
      <c r="R230" s="7">
        <v>990</v>
      </c>
      <c r="S230" s="160"/>
    </row>
    <row r="231" spans="1:19" ht="15" customHeight="1">
      <c r="A231" s="161" t="s">
        <v>1018</v>
      </c>
      <c r="B231" s="161" t="s">
        <v>1018</v>
      </c>
      <c r="C231" s="161" t="s">
        <v>1019</v>
      </c>
      <c r="D231" s="161" t="s">
        <v>1020</v>
      </c>
      <c r="E231" s="160" t="s">
        <v>113</v>
      </c>
      <c r="F231" s="161" t="s">
        <v>1021</v>
      </c>
      <c r="G231" s="161" t="s">
        <v>227</v>
      </c>
      <c r="H231" s="207" t="s">
        <v>1022</v>
      </c>
      <c r="I231" s="90" t="s">
        <v>1023</v>
      </c>
      <c r="J231" s="207">
        <v>152</v>
      </c>
      <c r="K231" s="208">
        <v>8.1999999999999993</v>
      </c>
      <c r="L231" s="208">
        <v>0.7</v>
      </c>
      <c r="M231" s="208">
        <v>6.3</v>
      </c>
      <c r="N231" s="208">
        <v>1.7</v>
      </c>
      <c r="O231" s="208">
        <v>11</v>
      </c>
      <c r="P231" s="208">
        <v>0.9</v>
      </c>
      <c r="Q231" s="209">
        <v>5.8</v>
      </c>
      <c r="R231" s="7">
        <v>2500</v>
      </c>
      <c r="S231" s="161"/>
    </row>
    <row r="232" spans="1:19" ht="15" customHeight="1">
      <c r="A232" s="161" t="s">
        <v>1024</v>
      </c>
      <c r="B232" s="161" t="s">
        <v>1024</v>
      </c>
      <c r="C232" s="161" t="s">
        <v>775</v>
      </c>
      <c r="D232" s="161"/>
      <c r="E232" s="161" t="s">
        <v>519</v>
      </c>
      <c r="F232" s="82" t="s">
        <v>1025</v>
      </c>
      <c r="G232" s="161" t="s">
        <v>227</v>
      </c>
      <c r="H232" s="207"/>
      <c r="I232" s="233"/>
      <c r="J232" s="207">
        <v>58</v>
      </c>
      <c r="K232" s="208">
        <v>1</v>
      </c>
      <c r="L232" s="208">
        <v>0.1</v>
      </c>
      <c r="M232" s="208">
        <v>10.6</v>
      </c>
      <c r="N232" s="208">
        <v>4.3</v>
      </c>
      <c r="O232" s="208">
        <v>2</v>
      </c>
      <c r="P232" s="208">
        <v>2.9</v>
      </c>
      <c r="Q232" s="209">
        <v>1.6</v>
      </c>
      <c r="R232" s="7">
        <v>350</v>
      </c>
      <c r="S232" s="161"/>
    </row>
    <row r="233" spans="1:19" ht="15" customHeight="1">
      <c r="A233" s="160" t="s">
        <v>1026</v>
      </c>
      <c r="B233" s="160" t="s">
        <v>1026</v>
      </c>
      <c r="C233" s="160" t="s">
        <v>1027</v>
      </c>
      <c r="D233" s="160">
        <v>111</v>
      </c>
      <c r="E233" s="160" t="s">
        <v>22</v>
      </c>
      <c r="F233" s="160" t="s">
        <v>1028</v>
      </c>
      <c r="G233" s="160" t="s">
        <v>1029</v>
      </c>
      <c r="H233" s="235" t="s">
        <v>327</v>
      </c>
      <c r="I233" s="90" t="s">
        <v>1030</v>
      </c>
      <c r="J233" s="204">
        <v>178</v>
      </c>
      <c r="K233" s="205">
        <v>2.7</v>
      </c>
      <c r="L233" s="205">
        <v>0.3</v>
      </c>
      <c r="M233" s="205">
        <v>31</v>
      </c>
      <c r="N233" s="205">
        <v>0.4</v>
      </c>
      <c r="O233" s="205">
        <v>5.0999999999999996</v>
      </c>
      <c r="P233" s="205">
        <v>1.1000000000000001</v>
      </c>
      <c r="Q233" s="206">
        <v>3.2</v>
      </c>
      <c r="R233" s="145">
        <v>600</v>
      </c>
      <c r="S233" s="160" t="s">
        <v>1031</v>
      </c>
    </row>
    <row r="234" spans="1:19" ht="15" customHeight="1">
      <c r="A234" s="161" t="s">
        <v>1032</v>
      </c>
      <c r="B234" s="161" t="s">
        <v>1032</v>
      </c>
      <c r="C234" s="161" t="s">
        <v>1033</v>
      </c>
      <c r="D234" s="161">
        <v>120450</v>
      </c>
      <c r="E234" s="161" t="s">
        <v>303</v>
      </c>
      <c r="F234" s="161" t="s">
        <v>1034</v>
      </c>
      <c r="G234" s="161" t="s">
        <v>30</v>
      </c>
      <c r="H234" s="207"/>
      <c r="I234" s="90" t="s">
        <v>1035</v>
      </c>
      <c r="J234" s="207">
        <v>312</v>
      </c>
      <c r="K234" s="208">
        <v>6.9</v>
      </c>
      <c r="L234" s="208">
        <v>0.9</v>
      </c>
      <c r="M234" s="208">
        <v>52.5</v>
      </c>
      <c r="N234" s="208">
        <v>1.8</v>
      </c>
      <c r="O234" s="208">
        <v>8.5</v>
      </c>
      <c r="P234" s="208">
        <v>1</v>
      </c>
      <c r="Q234" s="209">
        <v>2.7</v>
      </c>
      <c r="R234" s="7">
        <v>800</v>
      </c>
      <c r="S234" s="161"/>
    </row>
    <row r="235" spans="1:19" ht="15" customHeight="1">
      <c r="A235" s="160" t="s">
        <v>1036</v>
      </c>
      <c r="B235" s="160" t="s">
        <v>1036</v>
      </c>
      <c r="C235" s="160" t="s">
        <v>775</v>
      </c>
      <c r="D235" s="160"/>
      <c r="E235" s="160" t="s">
        <v>519</v>
      </c>
      <c r="F235" s="160" t="s">
        <v>1037</v>
      </c>
      <c r="G235" s="160"/>
      <c r="H235" s="204"/>
      <c r="I235" s="233"/>
      <c r="J235" s="204">
        <v>131</v>
      </c>
      <c r="K235" s="205">
        <v>7.4</v>
      </c>
      <c r="L235" s="205">
        <v>1.9</v>
      </c>
      <c r="M235" s="205">
        <v>4.0999999999999996</v>
      </c>
      <c r="N235" s="205">
        <v>2.7</v>
      </c>
      <c r="O235" s="205">
        <v>12.1</v>
      </c>
      <c r="P235" s="205">
        <v>2.4</v>
      </c>
      <c r="Q235" s="206">
        <v>0.4</v>
      </c>
      <c r="R235" s="7">
        <v>2600</v>
      </c>
      <c r="S235" s="160"/>
    </row>
    <row r="236" spans="1:19" ht="15" customHeight="1">
      <c r="A236" s="161" t="s">
        <v>1038</v>
      </c>
      <c r="B236" s="161" t="s">
        <v>1038</v>
      </c>
      <c r="C236" s="161" t="s">
        <v>775</v>
      </c>
      <c r="D236" s="161"/>
      <c r="E236" s="161" t="s">
        <v>519</v>
      </c>
      <c r="F236" s="161" t="s">
        <v>1039</v>
      </c>
      <c r="G236" s="161" t="s">
        <v>227</v>
      </c>
      <c r="H236" s="236" t="s">
        <v>1040</v>
      </c>
      <c r="I236" s="233"/>
      <c r="J236" s="207">
        <v>213</v>
      </c>
      <c r="K236" s="208">
        <v>4.0999999999999996</v>
      </c>
      <c r="L236" s="208">
        <v>0.5</v>
      </c>
      <c r="M236" s="208">
        <v>34</v>
      </c>
      <c r="N236" s="208">
        <v>3.7</v>
      </c>
      <c r="O236" s="208">
        <v>8.3000000000000007</v>
      </c>
      <c r="P236" s="208">
        <v>0.9</v>
      </c>
      <c r="Q236" s="209">
        <v>3</v>
      </c>
      <c r="R236" s="7">
        <v>350</v>
      </c>
      <c r="S236" s="161"/>
    </row>
    <row r="237" spans="1:19" ht="15" customHeight="1">
      <c r="A237" s="160" t="s">
        <v>1041</v>
      </c>
      <c r="B237" s="160" t="s">
        <v>1041</v>
      </c>
      <c r="C237" s="160" t="s">
        <v>1042</v>
      </c>
      <c r="D237" s="160" t="s">
        <v>1043</v>
      </c>
      <c r="E237" s="160" t="s">
        <v>303</v>
      </c>
      <c r="F237" s="160" t="s">
        <v>1044</v>
      </c>
      <c r="G237" s="160" t="s">
        <v>30</v>
      </c>
      <c r="H237" s="235" t="s">
        <v>1045</v>
      </c>
      <c r="I237" s="90" t="s">
        <v>1046</v>
      </c>
      <c r="J237" s="204">
        <v>215</v>
      </c>
      <c r="K237" s="205">
        <v>0.6</v>
      </c>
      <c r="L237" s="205">
        <v>0.1</v>
      </c>
      <c r="M237" s="205">
        <v>42.7</v>
      </c>
      <c r="N237" s="205">
        <v>1.1000000000000001</v>
      </c>
      <c r="O237" s="205">
        <v>8.6999999999999993</v>
      </c>
      <c r="P237" s="205">
        <v>0</v>
      </c>
      <c r="Q237" s="206">
        <v>1.9</v>
      </c>
      <c r="R237" s="7">
        <v>800</v>
      </c>
      <c r="S237" s="160"/>
    </row>
    <row r="238" spans="1:19" ht="15" customHeight="1">
      <c r="A238" s="161" t="s">
        <v>1047</v>
      </c>
      <c r="B238" s="161" t="s">
        <v>1047</v>
      </c>
      <c r="C238" s="161" t="s">
        <v>223</v>
      </c>
      <c r="D238" s="161">
        <v>42010004898</v>
      </c>
      <c r="E238" s="161" t="s">
        <v>647</v>
      </c>
      <c r="F238" s="161" t="s">
        <v>1048</v>
      </c>
      <c r="G238" s="161" t="s">
        <v>30</v>
      </c>
      <c r="H238" s="207"/>
      <c r="I238" s="90" t="s">
        <v>1049</v>
      </c>
      <c r="J238" s="207">
        <v>126</v>
      </c>
      <c r="K238" s="208">
        <v>4.5999999999999996</v>
      </c>
      <c r="L238" s="208">
        <v>0.6</v>
      </c>
      <c r="M238" s="208">
        <v>16.5</v>
      </c>
      <c r="N238" s="208">
        <v>2.5</v>
      </c>
      <c r="O238" s="208">
        <v>3.6</v>
      </c>
      <c r="P238" s="208">
        <v>0.9</v>
      </c>
      <c r="Q238" s="209">
        <v>2</v>
      </c>
      <c r="R238" s="7">
        <v>800</v>
      </c>
      <c r="S238" s="161"/>
    </row>
    <row r="239" spans="1:19" ht="15" customHeight="1">
      <c r="A239" s="160" t="s">
        <v>1050</v>
      </c>
      <c r="B239" s="160" t="s">
        <v>1050</v>
      </c>
      <c r="C239" s="160" t="s">
        <v>775</v>
      </c>
      <c r="D239" s="160"/>
      <c r="E239" s="160" t="s">
        <v>519</v>
      </c>
      <c r="F239" s="160" t="s">
        <v>1051</v>
      </c>
      <c r="G239" s="160" t="s">
        <v>1052</v>
      </c>
      <c r="H239" s="204"/>
      <c r="I239" s="233"/>
      <c r="J239" s="204">
        <v>84</v>
      </c>
      <c r="K239" s="205">
        <v>2.9</v>
      </c>
      <c r="L239" s="205">
        <v>0.6</v>
      </c>
      <c r="M239" s="205">
        <v>9.1</v>
      </c>
      <c r="N239" s="205">
        <v>2.2000000000000002</v>
      </c>
      <c r="O239" s="205">
        <v>5.6</v>
      </c>
      <c r="P239" s="205">
        <v>2.1</v>
      </c>
      <c r="Q239" s="206">
        <v>0.7</v>
      </c>
      <c r="R239" s="7">
        <v>1200</v>
      </c>
      <c r="S239" s="160"/>
    </row>
    <row r="240" spans="1:19" s="120" customFormat="1" ht="15" customHeight="1">
      <c r="A240" s="124" t="s">
        <v>1053</v>
      </c>
      <c r="B240" s="170" t="s">
        <v>1053</v>
      </c>
      <c r="C240" s="237" t="s">
        <v>775</v>
      </c>
      <c r="D240" s="237"/>
      <c r="E240" s="237" t="s">
        <v>519</v>
      </c>
      <c r="F240" s="237" t="s">
        <v>1054</v>
      </c>
      <c r="G240" s="237" t="s">
        <v>1055</v>
      </c>
      <c r="H240" s="238"/>
      <c r="I240" s="231"/>
      <c r="J240" s="238">
        <v>105</v>
      </c>
      <c r="K240" s="239">
        <v>1</v>
      </c>
      <c r="L240" s="239">
        <v>0.1</v>
      </c>
      <c r="M240" s="239">
        <v>16.8</v>
      </c>
      <c r="N240" s="239">
        <v>3.5</v>
      </c>
      <c r="O240" s="239">
        <v>6.7</v>
      </c>
      <c r="P240" s="239">
        <v>2</v>
      </c>
      <c r="Q240" s="240">
        <v>2.5</v>
      </c>
      <c r="R240" s="119">
        <v>450</v>
      </c>
      <c r="S240" s="237"/>
    </row>
    <row r="241" spans="1:19" ht="15" customHeight="1">
      <c r="A241" s="160" t="s">
        <v>1056</v>
      </c>
      <c r="B241" s="160" t="s">
        <v>1056</v>
      </c>
      <c r="C241" s="160" t="s">
        <v>793</v>
      </c>
      <c r="D241" s="160"/>
      <c r="E241" s="160" t="s">
        <v>543</v>
      </c>
      <c r="F241" s="160" t="s">
        <v>1057</v>
      </c>
      <c r="G241" s="160" t="s">
        <v>543</v>
      </c>
      <c r="H241" s="204"/>
      <c r="I241" s="233"/>
      <c r="J241" s="204">
        <v>82</v>
      </c>
      <c r="K241" s="205">
        <v>0.7</v>
      </c>
      <c r="L241" s="205">
        <v>0.1</v>
      </c>
      <c r="M241" s="205">
        <v>0</v>
      </c>
      <c r="N241" s="205">
        <v>0</v>
      </c>
      <c r="O241" s="205">
        <v>18</v>
      </c>
      <c r="P241" s="205">
        <v>1</v>
      </c>
      <c r="Q241" s="206">
        <v>0</v>
      </c>
      <c r="R241" s="7">
        <v>2100</v>
      </c>
      <c r="S241" s="160"/>
    </row>
    <row r="242" spans="1:19" ht="15" customHeight="1">
      <c r="A242" s="161" t="s">
        <v>1058</v>
      </c>
      <c r="B242" s="161" t="s">
        <v>1058</v>
      </c>
      <c r="C242" s="161" t="s">
        <v>1059</v>
      </c>
      <c r="D242" s="81">
        <v>590044</v>
      </c>
      <c r="E242" s="161" t="s">
        <v>113</v>
      </c>
      <c r="F242" s="168" t="s">
        <v>1060</v>
      </c>
      <c r="G242" s="161" t="s">
        <v>121</v>
      </c>
      <c r="H242" s="210" t="s">
        <v>1061</v>
      </c>
      <c r="I242" s="90" t="s">
        <v>1062</v>
      </c>
      <c r="J242" s="207">
        <v>205</v>
      </c>
      <c r="K242" s="208">
        <v>12</v>
      </c>
      <c r="L242" s="208">
        <v>1.1000000000000001</v>
      </c>
      <c r="M242" s="208">
        <v>6.4</v>
      </c>
      <c r="N242" s="208">
        <v>1.9</v>
      </c>
      <c r="O242" s="208">
        <v>15</v>
      </c>
      <c r="P242" s="208">
        <v>1.3</v>
      </c>
      <c r="Q242" s="209">
        <v>0</v>
      </c>
      <c r="R242" s="7">
        <v>700</v>
      </c>
      <c r="S242" s="161"/>
    </row>
    <row r="243" spans="1:19" ht="15" customHeight="1">
      <c r="A243" s="160" t="s">
        <v>1063</v>
      </c>
      <c r="B243" s="160" t="s">
        <v>1063</v>
      </c>
      <c r="C243" s="160" t="s">
        <v>1064</v>
      </c>
      <c r="D243" s="160"/>
      <c r="E243" s="160" t="s">
        <v>22</v>
      </c>
      <c r="F243" s="241" t="s">
        <v>1065</v>
      </c>
      <c r="G243" s="160" t="s">
        <v>1066</v>
      </c>
      <c r="H243" s="235" t="s">
        <v>1067</v>
      </c>
      <c r="I243" s="90" t="s">
        <v>1068</v>
      </c>
      <c r="J243" s="204">
        <v>284</v>
      </c>
      <c r="K243" s="205">
        <v>9.3000000000000007</v>
      </c>
      <c r="L243" s="205">
        <v>2.6</v>
      </c>
      <c r="M243" s="205">
        <v>42</v>
      </c>
      <c r="N243" s="205">
        <v>2.4</v>
      </c>
      <c r="O243" s="205">
        <v>6.8</v>
      </c>
      <c r="P243" s="205">
        <v>1</v>
      </c>
      <c r="Q243" s="206">
        <v>0</v>
      </c>
      <c r="R243" s="7">
        <v>600</v>
      </c>
      <c r="S243" s="160"/>
    </row>
    <row r="244" spans="1:19" ht="15" customHeight="1">
      <c r="A244" s="161" t="s">
        <v>1069</v>
      </c>
      <c r="B244" s="161" t="s">
        <v>1069</v>
      </c>
      <c r="C244" s="161" t="s">
        <v>1070</v>
      </c>
      <c r="D244" s="161" t="s">
        <v>1071</v>
      </c>
      <c r="E244" s="161" t="s">
        <v>249</v>
      </c>
      <c r="F244" s="160" t="s">
        <v>1072</v>
      </c>
      <c r="G244" s="161" t="s">
        <v>128</v>
      </c>
      <c r="H244" s="207"/>
      <c r="I244" s="90" t="s">
        <v>1073</v>
      </c>
      <c r="J244" s="207">
        <v>175</v>
      </c>
      <c r="K244" s="208">
        <v>1</v>
      </c>
      <c r="L244" s="208">
        <v>0.2</v>
      </c>
      <c r="M244" s="208">
        <v>32.9</v>
      </c>
      <c r="N244" s="208">
        <v>18.3</v>
      </c>
      <c r="O244" s="208">
        <v>8.6999999999999993</v>
      </c>
      <c r="P244" s="208">
        <v>14.4</v>
      </c>
      <c r="Q244" s="209">
        <v>0.5</v>
      </c>
      <c r="R244" s="7">
        <v>2072</v>
      </c>
      <c r="S244" s="161"/>
    </row>
    <row r="245" spans="1:19" ht="15" customHeight="1">
      <c r="A245" s="160" t="s">
        <v>1074</v>
      </c>
      <c r="B245" s="160" t="s">
        <v>1074</v>
      </c>
      <c r="C245" s="160" t="s">
        <v>775</v>
      </c>
      <c r="D245" s="160"/>
      <c r="E245" s="160" t="s">
        <v>519</v>
      </c>
      <c r="F245" s="160" t="s">
        <v>1075</v>
      </c>
      <c r="G245" s="160" t="s">
        <v>777</v>
      </c>
      <c r="H245" s="204" t="s">
        <v>1076</v>
      </c>
      <c r="I245" s="233"/>
      <c r="J245" s="204">
        <v>140</v>
      </c>
      <c r="K245" s="205">
        <v>7.6</v>
      </c>
      <c r="L245" s="205">
        <v>3.1</v>
      </c>
      <c r="M245" s="205">
        <v>6.1</v>
      </c>
      <c r="N245" s="205">
        <v>2.1</v>
      </c>
      <c r="O245" s="205">
        <v>10.6</v>
      </c>
      <c r="P245" s="205">
        <v>1.1000000000000001</v>
      </c>
      <c r="Q245" s="206">
        <v>4.3</v>
      </c>
      <c r="R245" s="7">
        <v>1400</v>
      </c>
      <c r="S245" s="160"/>
    </row>
    <row r="246" spans="1:19" ht="15" customHeight="1">
      <c r="A246" s="161" t="s">
        <v>1077</v>
      </c>
      <c r="B246" s="161" t="s">
        <v>1077</v>
      </c>
      <c r="C246" s="161" t="s">
        <v>775</v>
      </c>
      <c r="D246" s="161"/>
      <c r="E246" s="161" t="s">
        <v>519</v>
      </c>
      <c r="F246" s="160" t="s">
        <v>1078</v>
      </c>
      <c r="G246" s="161" t="s">
        <v>859</v>
      </c>
      <c r="H246" s="207"/>
      <c r="I246" s="206"/>
      <c r="J246" s="207">
        <v>120</v>
      </c>
      <c r="K246" s="208">
        <v>6.5</v>
      </c>
      <c r="L246" s="208">
        <v>3.1</v>
      </c>
      <c r="M246" s="208">
        <v>5.6</v>
      </c>
      <c r="N246" s="208">
        <v>2.2999999999999998</v>
      </c>
      <c r="O246" s="208">
        <v>9.3000000000000007</v>
      </c>
      <c r="P246" s="208">
        <v>0.2</v>
      </c>
      <c r="Q246" s="209">
        <v>0.6</v>
      </c>
      <c r="R246" s="7">
        <v>1890</v>
      </c>
      <c r="S246" s="161"/>
    </row>
    <row r="247" spans="1:19" ht="15" customHeight="1">
      <c r="A247" s="160" t="s">
        <v>1079</v>
      </c>
      <c r="B247" s="160" t="s">
        <v>1079</v>
      </c>
      <c r="C247" s="160" t="s">
        <v>775</v>
      </c>
      <c r="D247" s="160"/>
      <c r="E247" s="160" t="s">
        <v>519</v>
      </c>
      <c r="F247" s="161" t="s">
        <v>781</v>
      </c>
      <c r="G247" s="160" t="s">
        <v>30</v>
      </c>
      <c r="H247" s="207" t="s">
        <v>782</v>
      </c>
      <c r="I247" s="87" t="s">
        <v>783</v>
      </c>
      <c r="J247" s="204">
        <v>146</v>
      </c>
      <c r="K247" s="205">
        <v>0.6</v>
      </c>
      <c r="L247" s="205">
        <v>0.1</v>
      </c>
      <c r="M247" s="205">
        <v>30.4</v>
      </c>
      <c r="N247" s="205">
        <v>1.6</v>
      </c>
      <c r="O247" s="205">
        <v>5</v>
      </c>
      <c r="P247" s="205">
        <v>0</v>
      </c>
      <c r="Q247" s="206">
        <v>1.2</v>
      </c>
      <c r="R247" s="7">
        <v>600</v>
      </c>
      <c r="S247" s="160"/>
    </row>
    <row r="248" spans="1:19" ht="15" customHeight="1">
      <c r="A248" s="161" t="s">
        <v>1080</v>
      </c>
      <c r="B248" s="161" t="s">
        <v>1080</v>
      </c>
      <c r="C248" s="161" t="s">
        <v>775</v>
      </c>
      <c r="D248" s="161"/>
      <c r="E248" s="161" t="s">
        <v>249</v>
      </c>
      <c r="F248" s="168" t="s">
        <v>1081</v>
      </c>
      <c r="G248" s="161" t="s">
        <v>671</v>
      </c>
      <c r="H248" s="236" t="s">
        <v>1082</v>
      </c>
      <c r="I248" s="233"/>
      <c r="J248" s="207">
        <v>504</v>
      </c>
      <c r="K248" s="208">
        <v>53.4</v>
      </c>
      <c r="L248" s="208">
        <v>3.9</v>
      </c>
      <c r="M248" s="208">
        <v>6.4</v>
      </c>
      <c r="N248" s="208">
        <v>0.8</v>
      </c>
      <c r="O248" s="208">
        <v>1.4</v>
      </c>
      <c r="P248" s="208">
        <v>1</v>
      </c>
      <c r="Q248" s="209">
        <v>0.1</v>
      </c>
      <c r="R248" s="7">
        <v>600</v>
      </c>
      <c r="S248" s="161"/>
    </row>
    <row r="249" spans="1:19" ht="15" customHeight="1">
      <c r="A249" s="160" t="s">
        <v>1083</v>
      </c>
      <c r="B249" s="160" t="s">
        <v>1083</v>
      </c>
      <c r="C249" s="160" t="s">
        <v>793</v>
      </c>
      <c r="D249" s="160"/>
      <c r="E249" s="160" t="s">
        <v>543</v>
      </c>
      <c r="F249" s="83" t="s">
        <v>1084</v>
      </c>
      <c r="G249" s="160" t="s">
        <v>543</v>
      </c>
      <c r="H249" s="204"/>
      <c r="I249" s="233"/>
      <c r="J249" s="204">
        <v>121</v>
      </c>
      <c r="K249" s="205">
        <v>5.3</v>
      </c>
      <c r="L249" s="205">
        <v>0.6</v>
      </c>
      <c r="M249" s="205">
        <v>1</v>
      </c>
      <c r="N249" s="205">
        <v>0.5</v>
      </c>
      <c r="O249" s="205">
        <v>17.3</v>
      </c>
      <c r="P249" s="205">
        <v>1</v>
      </c>
      <c r="Q249" s="206">
        <v>0.3</v>
      </c>
      <c r="R249" s="7">
        <v>1900</v>
      </c>
      <c r="S249" s="160"/>
    </row>
    <row r="250" spans="1:19" ht="15" customHeight="1">
      <c r="A250" s="161" t="s">
        <v>1085</v>
      </c>
      <c r="B250" s="161" t="s">
        <v>1085</v>
      </c>
      <c r="C250" s="161" t="s">
        <v>1086</v>
      </c>
      <c r="D250" s="161"/>
      <c r="E250" s="161" t="s">
        <v>113</v>
      </c>
      <c r="F250" s="168" t="s">
        <v>1087</v>
      </c>
      <c r="G250" s="161" t="s">
        <v>121</v>
      </c>
      <c r="H250" s="207"/>
      <c r="I250" s="90" t="s">
        <v>1088</v>
      </c>
      <c r="J250" s="207">
        <v>339</v>
      </c>
      <c r="K250" s="208">
        <v>4.0999999999999996</v>
      </c>
      <c r="L250" s="208">
        <v>0.9</v>
      </c>
      <c r="M250" s="208">
        <v>15</v>
      </c>
      <c r="N250" s="208">
        <v>2.9</v>
      </c>
      <c r="O250" s="208">
        <v>53</v>
      </c>
      <c r="P250" s="208">
        <v>1.2</v>
      </c>
      <c r="Q250" s="209">
        <v>15</v>
      </c>
      <c r="R250" s="7">
        <v>2500</v>
      </c>
      <c r="S250" s="161"/>
    </row>
    <row r="251" spans="1:19" ht="15" customHeight="1">
      <c r="A251" s="160" t="s">
        <v>1089</v>
      </c>
      <c r="B251" s="160" t="s">
        <v>1089</v>
      </c>
      <c r="C251" s="160" t="s">
        <v>775</v>
      </c>
      <c r="D251" s="160"/>
      <c r="E251" s="160" t="s">
        <v>519</v>
      </c>
      <c r="F251" s="160" t="s">
        <v>1090</v>
      </c>
      <c r="G251" s="160" t="s">
        <v>133</v>
      </c>
      <c r="H251" s="204"/>
      <c r="I251" s="206"/>
      <c r="J251" s="204">
        <v>127</v>
      </c>
      <c r="K251" s="205">
        <v>13.8</v>
      </c>
      <c r="L251" s="205">
        <v>11.1</v>
      </c>
      <c r="M251" s="205">
        <v>7.8</v>
      </c>
      <c r="N251" s="205">
        <v>2.6</v>
      </c>
      <c r="O251" s="205">
        <v>1.1000000000000001</v>
      </c>
      <c r="P251" s="205">
        <v>1</v>
      </c>
      <c r="Q251" s="206">
        <v>0.5</v>
      </c>
      <c r="R251" s="7">
        <v>500</v>
      </c>
      <c r="S251" s="160"/>
    </row>
    <row r="252" spans="1:19" ht="15" customHeight="1">
      <c r="A252" s="161" t="s">
        <v>1091</v>
      </c>
      <c r="B252" s="161" t="s">
        <v>1091</v>
      </c>
      <c r="C252" s="161" t="s">
        <v>643</v>
      </c>
      <c r="D252" s="161"/>
      <c r="E252" s="161" t="s">
        <v>303</v>
      </c>
      <c r="F252" s="161" t="s">
        <v>1091</v>
      </c>
      <c r="G252" s="161" t="s">
        <v>121</v>
      </c>
      <c r="H252" s="207"/>
      <c r="I252" s="87" t="s">
        <v>1092</v>
      </c>
      <c r="J252" s="207">
        <v>900</v>
      </c>
      <c r="K252" s="208">
        <v>100</v>
      </c>
      <c r="L252" s="208">
        <v>7</v>
      </c>
      <c r="M252" s="208">
        <v>65</v>
      </c>
      <c r="N252" s="208">
        <v>27.5</v>
      </c>
      <c r="O252" s="208">
        <v>0</v>
      </c>
      <c r="P252" s="208">
        <v>0</v>
      </c>
      <c r="Q252" s="209">
        <v>0</v>
      </c>
      <c r="R252" s="7">
        <v>395</v>
      </c>
      <c r="S252" s="161"/>
    </row>
    <row r="253" spans="1:19" ht="15" customHeight="1">
      <c r="A253" s="160" t="s">
        <v>1093</v>
      </c>
      <c r="B253" s="160" t="s">
        <v>1093</v>
      </c>
      <c r="C253" s="160" t="s">
        <v>1094</v>
      </c>
      <c r="D253" s="160"/>
      <c r="E253" s="160" t="s">
        <v>22</v>
      </c>
      <c r="F253" s="168" t="s">
        <v>1095</v>
      </c>
      <c r="G253" s="160" t="s">
        <v>30</v>
      </c>
      <c r="H253" s="204"/>
      <c r="I253" s="86" t="s">
        <v>1096</v>
      </c>
      <c r="J253" s="204">
        <v>439</v>
      </c>
      <c r="K253" s="205">
        <v>13.6</v>
      </c>
      <c r="L253" s="205">
        <v>6.3</v>
      </c>
      <c r="M253" s="205">
        <v>67.7</v>
      </c>
      <c r="N253" s="205">
        <v>0.6</v>
      </c>
      <c r="O253" s="205">
        <v>10</v>
      </c>
      <c r="P253" s="205">
        <v>1.3</v>
      </c>
      <c r="Q253" s="206">
        <v>3</v>
      </c>
      <c r="R253" s="7">
        <v>1304</v>
      </c>
      <c r="S253" s="160"/>
    </row>
    <row r="254" spans="1:19" ht="15" customHeight="1">
      <c r="A254" s="79" t="s">
        <v>1097</v>
      </c>
      <c r="B254" s="79" t="s">
        <v>1097</v>
      </c>
      <c r="C254" s="161" t="s">
        <v>1098</v>
      </c>
      <c r="D254" s="161"/>
      <c r="E254" s="161" t="s">
        <v>514</v>
      </c>
      <c r="F254" s="168" t="s">
        <v>1099</v>
      </c>
      <c r="G254" s="161" t="s">
        <v>108</v>
      </c>
      <c r="H254" s="207" t="s">
        <v>1100</v>
      </c>
      <c r="I254" s="87" t="s">
        <v>1101</v>
      </c>
      <c r="J254" s="207">
        <v>103</v>
      </c>
      <c r="K254" s="208">
        <v>3</v>
      </c>
      <c r="L254" s="208">
        <v>2.1</v>
      </c>
      <c r="M254" s="208">
        <v>16</v>
      </c>
      <c r="N254" s="208">
        <v>1.2</v>
      </c>
      <c r="O254" s="208">
        <v>2.2000000000000002</v>
      </c>
      <c r="P254" s="208">
        <v>0.7</v>
      </c>
      <c r="Q254" s="209">
        <v>1.7</v>
      </c>
      <c r="R254" s="7">
        <v>500</v>
      </c>
      <c r="S254" s="161"/>
    </row>
    <row r="255" spans="1:19" ht="15" customHeight="1">
      <c r="A255" s="161" t="s">
        <v>1102</v>
      </c>
      <c r="B255" s="161" t="s">
        <v>1102</v>
      </c>
      <c r="C255" s="161" t="s">
        <v>223</v>
      </c>
      <c r="D255" s="161"/>
      <c r="E255" s="161" t="s">
        <v>647</v>
      </c>
      <c r="F255" s="160" t="s">
        <v>1103</v>
      </c>
      <c r="G255" s="161"/>
      <c r="H255" s="207"/>
      <c r="I255" s="87" t="s">
        <v>1104</v>
      </c>
      <c r="J255" s="207">
        <v>35</v>
      </c>
      <c r="K255" s="208">
        <v>0.3</v>
      </c>
      <c r="L255" s="208">
        <v>0</v>
      </c>
      <c r="M255" s="208">
        <v>4.5999999999999996</v>
      </c>
      <c r="N255" s="208">
        <v>3.6</v>
      </c>
      <c r="O255" s="208">
        <v>2.6</v>
      </c>
      <c r="P255" s="208">
        <v>0</v>
      </c>
      <c r="Q255" s="209">
        <v>1.8</v>
      </c>
      <c r="R255" s="7">
        <v>350</v>
      </c>
      <c r="S255" s="161"/>
    </row>
    <row r="256" spans="1:19" ht="15" customHeight="1">
      <c r="A256" s="160" t="s">
        <v>1105</v>
      </c>
      <c r="B256" s="160" t="s">
        <v>1105</v>
      </c>
      <c r="C256" s="160" t="s">
        <v>1106</v>
      </c>
      <c r="D256" s="160"/>
      <c r="E256" s="160" t="s">
        <v>249</v>
      </c>
      <c r="F256" s="160" t="s">
        <v>1107</v>
      </c>
      <c r="G256" s="160"/>
      <c r="H256" s="204"/>
      <c r="I256" s="86" t="s">
        <v>1108</v>
      </c>
      <c r="J256" s="204">
        <v>1035</v>
      </c>
      <c r="K256" s="205">
        <v>2.2999999999999998</v>
      </c>
      <c r="L256" s="205">
        <v>0.5</v>
      </c>
      <c r="M256" s="205">
        <v>33</v>
      </c>
      <c r="N256" s="205">
        <v>27.3</v>
      </c>
      <c r="O256" s="205">
        <v>23.5</v>
      </c>
      <c r="P256" s="205">
        <v>34</v>
      </c>
      <c r="Q256" s="206">
        <v>0.5</v>
      </c>
      <c r="R256" s="7">
        <v>3473</v>
      </c>
      <c r="S256" s="160"/>
    </row>
    <row r="257" spans="1:19" ht="15" customHeight="1">
      <c r="A257" s="161" t="s">
        <v>1109</v>
      </c>
      <c r="B257" s="161" t="s">
        <v>1109</v>
      </c>
      <c r="C257" s="161" t="s">
        <v>1110</v>
      </c>
      <c r="D257" s="161"/>
      <c r="E257" s="161" t="s">
        <v>22</v>
      </c>
      <c r="F257" s="160" t="s">
        <v>1111</v>
      </c>
      <c r="G257" s="161" t="s">
        <v>30</v>
      </c>
      <c r="H257" s="207"/>
      <c r="I257" s="87" t="s">
        <v>1112</v>
      </c>
      <c r="J257" s="207">
        <v>226.1</v>
      </c>
      <c r="K257" s="208">
        <v>2.2999999999999998</v>
      </c>
      <c r="L257" s="208">
        <v>0.3</v>
      </c>
      <c r="M257" s="208">
        <v>51.1</v>
      </c>
      <c r="N257" s="208">
        <v>8.8000000000000007</v>
      </c>
      <c r="O257" s="208">
        <v>8.8000000000000007</v>
      </c>
      <c r="P257" s="208">
        <v>1.1000000000000001</v>
      </c>
      <c r="Q257" s="209">
        <v>2.8</v>
      </c>
      <c r="R257" s="7">
        <v>600</v>
      </c>
      <c r="S257" s="161"/>
    </row>
    <row r="258" spans="1:19" ht="15" customHeight="1">
      <c r="A258" s="160" t="s">
        <v>1113</v>
      </c>
      <c r="B258" s="160" t="s">
        <v>1113</v>
      </c>
      <c r="C258" s="160" t="s">
        <v>793</v>
      </c>
      <c r="D258" s="160"/>
      <c r="E258" s="160" t="s">
        <v>543</v>
      </c>
      <c r="F258" s="160" t="s">
        <v>1113</v>
      </c>
      <c r="G258" s="160" t="s">
        <v>543</v>
      </c>
      <c r="H258" s="204"/>
      <c r="I258" s="206"/>
      <c r="J258" s="204">
        <v>82</v>
      </c>
      <c r="K258" s="205">
        <v>0.7</v>
      </c>
      <c r="L258" s="205">
        <v>0.1</v>
      </c>
      <c r="M258" s="205">
        <v>0</v>
      </c>
      <c r="N258" s="205">
        <v>0</v>
      </c>
      <c r="O258" s="205">
        <v>18</v>
      </c>
      <c r="P258" s="205">
        <v>0.2</v>
      </c>
      <c r="Q258" s="206">
        <v>0</v>
      </c>
      <c r="R258" s="7">
        <v>1900</v>
      </c>
      <c r="S258" s="160"/>
    </row>
    <row r="259" spans="1:19" ht="15" customHeight="1">
      <c r="A259" s="161" t="s">
        <v>1114</v>
      </c>
      <c r="B259" s="161" t="s">
        <v>1114</v>
      </c>
      <c r="C259" s="161" t="s">
        <v>793</v>
      </c>
      <c r="D259" s="161"/>
      <c r="E259" s="161" t="s">
        <v>543</v>
      </c>
      <c r="F259" s="161" t="s">
        <v>1115</v>
      </c>
      <c r="G259" s="161" t="s">
        <v>543</v>
      </c>
      <c r="H259" s="207"/>
      <c r="I259" s="87" t="s">
        <v>1116</v>
      </c>
      <c r="J259" s="207">
        <v>183</v>
      </c>
      <c r="K259" s="208">
        <v>11</v>
      </c>
      <c r="L259" s="208">
        <v>1.1000000000000001</v>
      </c>
      <c r="M259" s="208">
        <v>7.9</v>
      </c>
      <c r="N259" s="208">
        <v>2.1</v>
      </c>
      <c r="O259" s="208">
        <v>13</v>
      </c>
      <c r="P259" s="208">
        <v>2.4</v>
      </c>
      <c r="Q259" s="209">
        <v>0.3</v>
      </c>
      <c r="R259" s="7">
        <v>1800</v>
      </c>
      <c r="S259" s="161"/>
    </row>
    <row r="260" spans="1:19" ht="15" customHeight="1">
      <c r="A260" s="161" t="s">
        <v>1117</v>
      </c>
      <c r="B260" s="161" t="s">
        <v>1117</v>
      </c>
      <c r="C260" s="161" t="s">
        <v>1118</v>
      </c>
      <c r="D260" s="161">
        <v>261912</v>
      </c>
      <c r="E260" s="161" t="s">
        <v>113</v>
      </c>
      <c r="F260" s="161" t="s">
        <v>1119</v>
      </c>
      <c r="G260" s="161" t="s">
        <v>469</v>
      </c>
      <c r="H260" s="204" t="s">
        <v>499</v>
      </c>
      <c r="I260" s="87" t="s">
        <v>1120</v>
      </c>
      <c r="J260" s="207">
        <v>255</v>
      </c>
      <c r="K260" s="208">
        <v>1.9</v>
      </c>
      <c r="L260" s="208">
        <v>0.3</v>
      </c>
      <c r="M260" s="208">
        <v>43.8</v>
      </c>
      <c r="N260" s="208">
        <v>2.6</v>
      </c>
      <c r="O260" s="208">
        <v>10.4</v>
      </c>
      <c r="P260" s="208">
        <v>1.1000000000000001</v>
      </c>
      <c r="Q260" s="209">
        <v>10.199999999999999</v>
      </c>
      <c r="R260" s="7">
        <v>1200</v>
      </c>
      <c r="S260" s="161"/>
    </row>
    <row r="261" spans="1:19" ht="15" customHeight="1">
      <c r="A261" s="160" t="s">
        <v>1121</v>
      </c>
      <c r="B261" s="160" t="s">
        <v>1121</v>
      </c>
      <c r="C261" s="160" t="s">
        <v>1122</v>
      </c>
      <c r="D261" s="160"/>
      <c r="E261" s="160" t="s">
        <v>946</v>
      </c>
      <c r="F261" s="160" t="s">
        <v>1123</v>
      </c>
      <c r="G261" s="160" t="s">
        <v>121</v>
      </c>
      <c r="H261" s="204"/>
      <c r="I261" s="86" t="s">
        <v>1124</v>
      </c>
      <c r="J261" s="204">
        <v>227</v>
      </c>
      <c r="K261" s="205">
        <v>11</v>
      </c>
      <c r="L261" s="205">
        <v>2</v>
      </c>
      <c r="M261" s="205">
        <v>18</v>
      </c>
      <c r="N261" s="205">
        <v>0</v>
      </c>
      <c r="O261" s="205">
        <v>13</v>
      </c>
      <c r="P261" s="205">
        <v>1</v>
      </c>
      <c r="Q261" s="206">
        <v>2.1</v>
      </c>
      <c r="R261" s="7">
        <v>1900</v>
      </c>
      <c r="S261" s="160"/>
    </row>
    <row r="262" spans="1:19" ht="15" customHeight="1">
      <c r="A262" s="161" t="s">
        <v>1125</v>
      </c>
      <c r="B262" s="161" t="s">
        <v>1125</v>
      </c>
      <c r="C262" s="161" t="s">
        <v>775</v>
      </c>
      <c r="D262" s="161"/>
      <c r="E262" s="161" t="s">
        <v>543</v>
      </c>
      <c r="F262" s="161" t="s">
        <v>1126</v>
      </c>
      <c r="G262" s="161" t="s">
        <v>1127</v>
      </c>
      <c r="H262" s="207" t="s">
        <v>1128</v>
      </c>
      <c r="I262" s="209"/>
      <c r="J262" s="207">
        <v>108</v>
      </c>
      <c r="K262" s="208">
        <v>4.2</v>
      </c>
      <c r="L262" s="208">
        <v>2.6</v>
      </c>
      <c r="M262" s="208">
        <v>9.4</v>
      </c>
      <c r="N262" s="208">
        <v>1</v>
      </c>
      <c r="O262" s="208">
        <v>8.1999999999999993</v>
      </c>
      <c r="P262" s="208">
        <v>0.5</v>
      </c>
      <c r="Q262" s="209">
        <v>1</v>
      </c>
      <c r="R262" s="7">
        <v>1890</v>
      </c>
      <c r="S262" s="161"/>
    </row>
    <row r="263" spans="1:19" ht="15" customHeight="1">
      <c r="A263" s="160" t="s">
        <v>1129</v>
      </c>
      <c r="B263" s="160" t="s">
        <v>1129</v>
      </c>
      <c r="C263" s="160" t="s">
        <v>1130</v>
      </c>
      <c r="D263" s="160">
        <v>3203</v>
      </c>
      <c r="E263" s="160" t="s">
        <v>519</v>
      </c>
      <c r="F263" s="160" t="s">
        <v>1131</v>
      </c>
      <c r="G263" s="160" t="s">
        <v>1132</v>
      </c>
      <c r="H263" s="204"/>
      <c r="I263" s="86" t="s">
        <v>1133</v>
      </c>
      <c r="J263" s="204">
        <v>189</v>
      </c>
      <c r="K263" s="205">
        <v>17</v>
      </c>
      <c r="L263" s="205">
        <v>1</v>
      </c>
      <c r="M263" s="205">
        <v>8</v>
      </c>
      <c r="N263" s="205">
        <v>7.8</v>
      </c>
      <c r="O263" s="205">
        <v>1</v>
      </c>
      <c r="P263" s="205">
        <v>1.3</v>
      </c>
      <c r="Q263" s="206">
        <v>0</v>
      </c>
      <c r="R263" s="7">
        <v>600</v>
      </c>
      <c r="S263" s="160"/>
    </row>
    <row r="264" spans="1:19" ht="15" customHeight="1">
      <c r="A264" s="161" t="s">
        <v>1134</v>
      </c>
      <c r="B264" s="161" t="s">
        <v>1134</v>
      </c>
      <c r="C264" s="161" t="s">
        <v>775</v>
      </c>
      <c r="D264" s="161"/>
      <c r="E264" s="161" t="s">
        <v>113</v>
      </c>
      <c r="F264" s="242" t="s">
        <v>1135</v>
      </c>
      <c r="G264" s="161" t="s">
        <v>121</v>
      </c>
      <c r="H264" s="207" t="s">
        <v>183</v>
      </c>
      <c r="I264" s="209"/>
      <c r="J264" s="207">
        <v>216</v>
      </c>
      <c r="K264" s="208">
        <v>13.8</v>
      </c>
      <c r="L264" s="208">
        <v>1.2</v>
      </c>
      <c r="M264" s="208">
        <v>6.8</v>
      </c>
      <c r="N264" s="208">
        <v>2.2000000000000002</v>
      </c>
      <c r="O264" s="208">
        <v>13.7</v>
      </c>
      <c r="P264" s="208">
        <v>2</v>
      </c>
      <c r="Q264" s="209">
        <v>0</v>
      </c>
      <c r="R264" s="7">
        <v>350</v>
      </c>
      <c r="S264" s="161"/>
    </row>
    <row r="265" spans="1:19" ht="15" customHeight="1">
      <c r="A265" s="160" t="s">
        <v>1136</v>
      </c>
      <c r="B265" s="160" t="s">
        <v>1136</v>
      </c>
      <c r="C265" s="160" t="s">
        <v>793</v>
      </c>
      <c r="D265" s="160"/>
      <c r="E265" s="160" t="s">
        <v>543</v>
      </c>
      <c r="F265" s="160" t="s">
        <v>1137</v>
      </c>
      <c r="G265" s="160" t="s">
        <v>543</v>
      </c>
      <c r="H265" s="204"/>
      <c r="I265" s="206"/>
      <c r="J265" s="204">
        <v>113</v>
      </c>
      <c r="K265" s="205">
        <v>4.4000000000000004</v>
      </c>
      <c r="L265" s="205">
        <v>0.5</v>
      </c>
      <c r="M265" s="205">
        <v>1</v>
      </c>
      <c r="N265" s="205">
        <v>0.5</v>
      </c>
      <c r="O265" s="205">
        <v>17.3</v>
      </c>
      <c r="P265" s="205">
        <v>1</v>
      </c>
      <c r="Q265" s="206">
        <v>0.3</v>
      </c>
      <c r="R265" s="7">
        <v>1900</v>
      </c>
      <c r="S265" s="160"/>
    </row>
    <row r="266" spans="1:19" ht="15" customHeight="1">
      <c r="A266" s="161" t="s">
        <v>1138</v>
      </c>
      <c r="B266" s="161" t="s">
        <v>1138</v>
      </c>
      <c r="C266" s="161" t="s">
        <v>175</v>
      </c>
      <c r="D266" s="161">
        <v>9066</v>
      </c>
      <c r="E266" s="161" t="s">
        <v>543</v>
      </c>
      <c r="F266" s="161" t="s">
        <v>1139</v>
      </c>
      <c r="G266" s="161" t="s">
        <v>1140</v>
      </c>
      <c r="H266" s="207"/>
      <c r="I266" s="87" t="s">
        <v>1141</v>
      </c>
      <c r="J266" s="207">
        <v>127</v>
      </c>
      <c r="K266" s="208">
        <v>1.6</v>
      </c>
      <c r="L266" s="208">
        <v>0.2</v>
      </c>
      <c r="M266" s="208">
        <v>14.1</v>
      </c>
      <c r="N266" s="208">
        <v>0.3</v>
      </c>
      <c r="O266" s="208">
        <v>13.9</v>
      </c>
      <c r="P266" s="208">
        <v>1.1000000000000001</v>
      </c>
      <c r="Q266" s="209">
        <v>0</v>
      </c>
      <c r="R266" s="7">
        <v>1890</v>
      </c>
      <c r="S266" s="161"/>
    </row>
    <row r="267" spans="1:19" ht="15" customHeight="1">
      <c r="A267" s="160" t="s">
        <v>1142</v>
      </c>
      <c r="B267" s="160" t="s">
        <v>1142</v>
      </c>
      <c r="C267" s="160" t="s">
        <v>936</v>
      </c>
      <c r="D267" s="160">
        <v>112060</v>
      </c>
      <c r="E267" s="160" t="s">
        <v>99</v>
      </c>
      <c r="F267" s="160" t="s">
        <v>1143</v>
      </c>
      <c r="G267" s="160" t="s">
        <v>108</v>
      </c>
      <c r="H267" s="204"/>
      <c r="I267" s="86" t="s">
        <v>1144</v>
      </c>
      <c r="J267" s="204">
        <v>320</v>
      </c>
      <c r="K267" s="205">
        <v>26.5</v>
      </c>
      <c r="L267" s="205">
        <v>13.2</v>
      </c>
      <c r="M267" s="205">
        <v>17.3</v>
      </c>
      <c r="N267" s="205">
        <v>0</v>
      </c>
      <c r="O267" s="205">
        <v>3.9</v>
      </c>
      <c r="P267" s="205">
        <v>2</v>
      </c>
      <c r="Q267" s="206">
        <v>0</v>
      </c>
      <c r="R267" s="7">
        <v>3500</v>
      </c>
      <c r="S267" s="160"/>
    </row>
    <row r="268" spans="1:19" ht="15" customHeight="1">
      <c r="A268" s="161" t="s">
        <v>1145</v>
      </c>
      <c r="B268" s="161" t="s">
        <v>1145</v>
      </c>
      <c r="C268" s="161" t="s">
        <v>775</v>
      </c>
      <c r="D268" s="161"/>
      <c r="E268" s="161" t="s">
        <v>113</v>
      </c>
      <c r="F268" s="161" t="s">
        <v>1146</v>
      </c>
      <c r="G268" s="161" t="s">
        <v>139</v>
      </c>
      <c r="H268" s="207" t="s">
        <v>1147</v>
      </c>
      <c r="I268" s="87" t="s">
        <v>1148</v>
      </c>
      <c r="J268" s="207">
        <v>92</v>
      </c>
      <c r="K268" s="208">
        <v>8.4</v>
      </c>
      <c r="L268" s="208">
        <v>7.6</v>
      </c>
      <c r="M268" s="208">
        <v>5.3</v>
      </c>
      <c r="N268" s="208">
        <v>0.9</v>
      </c>
      <c r="O268" s="208">
        <v>8.6999999999999993</v>
      </c>
      <c r="P268" s="208">
        <v>0.6</v>
      </c>
      <c r="Q268" s="209">
        <v>1.9</v>
      </c>
      <c r="R268" s="7">
        <v>2500</v>
      </c>
      <c r="S268" s="161"/>
    </row>
    <row r="269" spans="1:19" ht="15" customHeight="1">
      <c r="A269" s="160" t="s">
        <v>1149</v>
      </c>
      <c r="B269" s="160" t="s">
        <v>1149</v>
      </c>
      <c r="C269" s="160" t="s">
        <v>274</v>
      </c>
      <c r="D269" s="160"/>
      <c r="E269" s="160" t="s">
        <v>275</v>
      </c>
      <c r="F269" s="160" t="s">
        <v>1150</v>
      </c>
      <c r="G269" s="160" t="s">
        <v>121</v>
      </c>
      <c r="H269" s="207" t="s">
        <v>277</v>
      </c>
      <c r="I269" s="86" t="s">
        <v>1151</v>
      </c>
      <c r="J269" s="243">
        <v>290</v>
      </c>
      <c r="K269" s="244" t="s">
        <v>1152</v>
      </c>
      <c r="L269" s="244" t="s">
        <v>1153</v>
      </c>
      <c r="M269" s="244">
        <v>42</v>
      </c>
      <c r="N269" s="244">
        <v>41</v>
      </c>
      <c r="O269" s="244">
        <v>14</v>
      </c>
      <c r="P269" s="244" t="s">
        <v>1154</v>
      </c>
      <c r="Q269" s="245">
        <v>0</v>
      </c>
      <c r="R269" s="7">
        <v>5271</v>
      </c>
      <c r="S269" s="160"/>
    </row>
    <row r="270" spans="1:19" ht="15" customHeight="1">
      <c r="A270" s="161" t="s">
        <v>1155</v>
      </c>
      <c r="B270" s="161" t="s">
        <v>1155</v>
      </c>
      <c r="C270" s="161" t="s">
        <v>775</v>
      </c>
      <c r="D270" s="161"/>
      <c r="E270" s="161" t="s">
        <v>519</v>
      </c>
      <c r="F270" s="161" t="s">
        <v>1156</v>
      </c>
      <c r="G270" s="161" t="s">
        <v>1157</v>
      </c>
      <c r="H270" s="207"/>
      <c r="I270" s="209"/>
      <c r="J270" s="207">
        <v>118</v>
      </c>
      <c r="K270" s="208">
        <v>3.3</v>
      </c>
      <c r="L270" s="208">
        <v>1.1000000000000001</v>
      </c>
      <c r="M270" s="208">
        <v>6.9</v>
      </c>
      <c r="N270" s="208">
        <v>4</v>
      </c>
      <c r="O270" s="208">
        <v>17.600000000000001</v>
      </c>
      <c r="P270" s="208">
        <v>1.2</v>
      </c>
      <c r="Q270" s="209">
        <v>3.4</v>
      </c>
      <c r="R270" s="7">
        <v>2500</v>
      </c>
      <c r="S270" s="161"/>
    </row>
    <row r="271" spans="1:19" ht="15" customHeight="1">
      <c r="A271" s="160" t="s">
        <v>1158</v>
      </c>
      <c r="B271" s="160" t="s">
        <v>1158</v>
      </c>
      <c r="C271" s="160" t="s">
        <v>775</v>
      </c>
      <c r="D271" s="160"/>
      <c r="E271" s="160" t="s">
        <v>519</v>
      </c>
      <c r="F271" s="160" t="s">
        <v>1159</v>
      </c>
      <c r="G271" s="160" t="s">
        <v>1160</v>
      </c>
      <c r="H271" s="204"/>
      <c r="I271" s="206"/>
      <c r="J271" s="204">
        <v>83</v>
      </c>
      <c r="K271" s="205">
        <v>2.5</v>
      </c>
      <c r="L271" s="205">
        <v>0.2</v>
      </c>
      <c r="M271" s="205">
        <v>7.1</v>
      </c>
      <c r="N271" s="205">
        <v>3.6</v>
      </c>
      <c r="O271" s="205">
        <v>9.8000000000000007</v>
      </c>
      <c r="P271" s="205">
        <v>0.9</v>
      </c>
      <c r="Q271" s="206">
        <v>2.2000000000000002</v>
      </c>
      <c r="R271" s="7">
        <v>350</v>
      </c>
      <c r="S271" s="160"/>
    </row>
    <row r="272" spans="1:19" ht="15" customHeight="1">
      <c r="A272" s="161" t="s">
        <v>1161</v>
      </c>
      <c r="B272" s="161" t="s">
        <v>1161</v>
      </c>
      <c r="C272" s="161" t="s">
        <v>1162</v>
      </c>
      <c r="D272" s="161">
        <v>125021</v>
      </c>
      <c r="E272" s="161" t="s">
        <v>113</v>
      </c>
      <c r="F272" s="161" t="s">
        <v>1163</v>
      </c>
      <c r="G272" s="161" t="s">
        <v>205</v>
      </c>
      <c r="H272" s="207"/>
      <c r="I272" s="87" t="s">
        <v>1164</v>
      </c>
      <c r="J272" s="207">
        <v>115</v>
      </c>
      <c r="K272" s="208">
        <v>0.4</v>
      </c>
      <c r="L272" s="208">
        <v>0</v>
      </c>
      <c r="M272" s="208">
        <v>1.8</v>
      </c>
      <c r="N272" s="208">
        <v>0.2</v>
      </c>
      <c r="O272" s="208">
        <v>23.8</v>
      </c>
      <c r="P272" s="208">
        <v>0.5</v>
      </c>
      <c r="Q272" s="209">
        <v>4.5999999999999996</v>
      </c>
      <c r="R272" s="7">
        <v>600</v>
      </c>
      <c r="S272" s="161"/>
    </row>
    <row r="273" spans="1:19" ht="15" customHeight="1">
      <c r="A273" s="160" t="s">
        <v>1165</v>
      </c>
      <c r="B273" s="160" t="s">
        <v>1165</v>
      </c>
      <c r="C273" s="160" t="s">
        <v>1166</v>
      </c>
      <c r="D273" s="160">
        <v>72423057</v>
      </c>
      <c r="E273" s="160" t="s">
        <v>946</v>
      </c>
      <c r="F273" s="160" t="s">
        <v>1167</v>
      </c>
      <c r="G273" s="160"/>
      <c r="H273" s="204"/>
      <c r="I273" s="86" t="s">
        <v>1168</v>
      </c>
      <c r="J273" s="204">
        <v>80</v>
      </c>
      <c r="K273" s="205">
        <v>0.6</v>
      </c>
      <c r="L273" s="205">
        <v>0.2</v>
      </c>
      <c r="M273" s="205">
        <v>0.2</v>
      </c>
      <c r="N273" s="205">
        <v>0.1</v>
      </c>
      <c r="O273" s="205">
        <v>18</v>
      </c>
      <c r="P273" s="205">
        <v>0.7</v>
      </c>
      <c r="Q273" s="206">
        <v>0</v>
      </c>
      <c r="R273" s="7">
        <v>2900</v>
      </c>
      <c r="S273" s="160"/>
    </row>
    <row r="274" spans="1:19" ht="15" customHeight="1">
      <c r="A274" s="161" t="s">
        <v>1169</v>
      </c>
      <c r="B274" s="161" t="s">
        <v>1169</v>
      </c>
      <c r="C274" s="161" t="s">
        <v>1170</v>
      </c>
      <c r="D274" s="161"/>
      <c r="E274" s="161" t="s">
        <v>946</v>
      </c>
      <c r="F274" s="161" t="s">
        <v>1171</v>
      </c>
      <c r="G274" s="161"/>
      <c r="H274" s="207"/>
      <c r="I274" s="87" t="s">
        <v>1172</v>
      </c>
      <c r="J274" s="207">
        <v>221</v>
      </c>
      <c r="K274" s="208">
        <v>4.4000000000000004</v>
      </c>
      <c r="L274" s="208">
        <v>0.4</v>
      </c>
      <c r="M274" s="208">
        <v>35.1</v>
      </c>
      <c r="N274" s="208">
        <v>1.3</v>
      </c>
      <c r="O274" s="208">
        <v>4</v>
      </c>
      <c r="P274" s="208">
        <v>0.8</v>
      </c>
      <c r="Q274" s="209">
        <v>12.8</v>
      </c>
      <c r="R274" s="7">
        <v>600</v>
      </c>
      <c r="S274" s="161"/>
    </row>
    <row r="275" spans="1:19" ht="15" customHeight="1">
      <c r="A275" s="160" t="s">
        <v>1173</v>
      </c>
      <c r="B275" s="160" t="s">
        <v>1173</v>
      </c>
      <c r="C275" s="160" t="s">
        <v>1170</v>
      </c>
      <c r="D275" s="160"/>
      <c r="E275" s="160" t="s">
        <v>946</v>
      </c>
      <c r="F275" s="160" t="s">
        <v>1174</v>
      </c>
      <c r="G275" s="160"/>
      <c r="H275" s="204"/>
      <c r="I275" s="86" t="s">
        <v>1175</v>
      </c>
      <c r="J275" s="204">
        <v>219</v>
      </c>
      <c r="K275" s="205">
        <v>5.3</v>
      </c>
      <c r="L275" s="205">
        <v>0.5</v>
      </c>
      <c r="M275" s="205">
        <v>32.299999999999997</v>
      </c>
      <c r="N275" s="205">
        <v>1.2</v>
      </c>
      <c r="O275" s="205">
        <v>3.3</v>
      </c>
      <c r="P275" s="205">
        <v>0.7</v>
      </c>
      <c r="Q275" s="206">
        <v>14.8</v>
      </c>
      <c r="R275" s="7">
        <v>600</v>
      </c>
      <c r="S275" s="160"/>
    </row>
    <row r="276" spans="1:19" ht="15" customHeight="1">
      <c r="A276" s="161" t="s">
        <v>1176</v>
      </c>
      <c r="B276" s="161" t="s">
        <v>1176</v>
      </c>
      <c r="C276" s="161" t="s">
        <v>1170</v>
      </c>
      <c r="D276" s="161"/>
      <c r="E276" s="161" t="s">
        <v>946</v>
      </c>
      <c r="F276" s="161" t="s">
        <v>1177</v>
      </c>
      <c r="G276" s="161"/>
      <c r="H276" s="207"/>
      <c r="I276" s="87" t="s">
        <v>1178</v>
      </c>
      <c r="J276" s="207">
        <v>225</v>
      </c>
      <c r="K276" s="208">
        <v>3</v>
      </c>
      <c r="L276" s="208">
        <v>0.3</v>
      </c>
      <c r="M276" s="208">
        <v>41</v>
      </c>
      <c r="N276" s="208">
        <v>1.6</v>
      </c>
      <c r="O276" s="208">
        <v>2.1</v>
      </c>
      <c r="P276" s="208">
        <v>1</v>
      </c>
      <c r="Q276" s="209">
        <v>12.7</v>
      </c>
      <c r="R276" s="7">
        <v>600</v>
      </c>
      <c r="S276" s="161"/>
    </row>
    <row r="277" spans="1:19" ht="15" customHeight="1">
      <c r="A277" s="160" t="s">
        <v>1179</v>
      </c>
      <c r="B277" s="160" t="s">
        <v>1179</v>
      </c>
      <c r="C277" s="160" t="s">
        <v>1170</v>
      </c>
      <c r="D277" s="160"/>
      <c r="E277" s="160" t="s">
        <v>946</v>
      </c>
      <c r="F277" s="160" t="s">
        <v>1180</v>
      </c>
      <c r="G277" s="160"/>
      <c r="H277" s="204"/>
      <c r="I277" s="86" t="s">
        <v>1181</v>
      </c>
      <c r="J277" s="204">
        <v>227</v>
      </c>
      <c r="K277" s="205">
        <v>4.2</v>
      </c>
      <c r="L277" s="205">
        <v>0.4</v>
      </c>
      <c r="M277" s="205">
        <v>39.799999999999997</v>
      </c>
      <c r="N277" s="205">
        <v>1.5</v>
      </c>
      <c r="O277" s="205">
        <v>2.1</v>
      </c>
      <c r="P277" s="205">
        <v>0.9</v>
      </c>
      <c r="Q277" s="206">
        <v>10.7</v>
      </c>
      <c r="R277" s="7">
        <v>600</v>
      </c>
      <c r="S277" s="160"/>
    </row>
    <row r="278" spans="1:19" ht="15" customHeight="1">
      <c r="A278" s="161" t="s">
        <v>1182</v>
      </c>
      <c r="B278" s="161" t="s">
        <v>1182</v>
      </c>
      <c r="C278" s="161" t="s">
        <v>1170</v>
      </c>
      <c r="D278" s="161"/>
      <c r="E278" s="161" t="s">
        <v>946</v>
      </c>
      <c r="F278" s="161" t="s">
        <v>1183</v>
      </c>
      <c r="G278" s="161"/>
      <c r="H278" s="207"/>
      <c r="I278" s="87" t="s">
        <v>1184</v>
      </c>
      <c r="J278" s="207">
        <v>236</v>
      </c>
      <c r="K278" s="208">
        <v>9</v>
      </c>
      <c r="L278" s="208">
        <v>2.7</v>
      </c>
      <c r="M278" s="208">
        <v>31.1</v>
      </c>
      <c r="N278" s="208">
        <v>3</v>
      </c>
      <c r="O278" s="208">
        <v>1.5</v>
      </c>
      <c r="P278" s="208">
        <v>0.9</v>
      </c>
      <c r="Q278" s="209">
        <v>12.2</v>
      </c>
      <c r="R278" s="7">
        <v>600</v>
      </c>
      <c r="S278" s="161"/>
    </row>
    <row r="279" spans="1:19" ht="15" customHeight="1">
      <c r="A279" s="160" t="s">
        <v>1185</v>
      </c>
      <c r="B279" s="160" t="s">
        <v>1185</v>
      </c>
      <c r="C279" s="160" t="s">
        <v>1186</v>
      </c>
      <c r="D279" s="160"/>
      <c r="E279" s="160" t="s">
        <v>22</v>
      </c>
      <c r="F279" s="160" t="s">
        <v>1187</v>
      </c>
      <c r="G279" s="160" t="s">
        <v>1188</v>
      </c>
      <c r="H279" s="204" t="s">
        <v>1189</v>
      </c>
      <c r="I279" s="86" t="s">
        <v>1190</v>
      </c>
      <c r="J279" s="204">
        <v>329</v>
      </c>
      <c r="K279" s="205">
        <v>1.5</v>
      </c>
      <c r="L279" s="205">
        <v>0.3</v>
      </c>
      <c r="M279" s="205">
        <v>60</v>
      </c>
      <c r="N279" s="205">
        <v>2.5</v>
      </c>
      <c r="O279" s="205">
        <v>8.3000000000000007</v>
      </c>
      <c r="P279" s="205">
        <v>1.4</v>
      </c>
      <c r="Q279" s="206">
        <v>21</v>
      </c>
      <c r="R279" s="7">
        <v>600</v>
      </c>
      <c r="S279" s="160"/>
    </row>
    <row r="280" spans="1:19" ht="15" customHeight="1">
      <c r="A280" s="161" t="s">
        <v>1191</v>
      </c>
      <c r="B280" s="161" t="s">
        <v>1191</v>
      </c>
      <c r="C280" s="161" t="s">
        <v>1192</v>
      </c>
      <c r="D280" s="161"/>
      <c r="E280" s="161" t="s">
        <v>946</v>
      </c>
      <c r="F280" s="161" t="s">
        <v>1193</v>
      </c>
      <c r="G280" s="161"/>
      <c r="H280" s="207"/>
      <c r="I280" s="87" t="s">
        <v>1194</v>
      </c>
      <c r="J280" s="207">
        <v>218</v>
      </c>
      <c r="K280" s="208">
        <v>1.2</v>
      </c>
      <c r="L280" s="208">
        <v>0.2</v>
      </c>
      <c r="M280" s="208">
        <v>45.9</v>
      </c>
      <c r="N280" s="208">
        <v>0.5</v>
      </c>
      <c r="O280" s="208">
        <v>5.6</v>
      </c>
      <c r="P280" s="208">
        <v>1</v>
      </c>
      <c r="Q280" s="209">
        <v>1.5</v>
      </c>
      <c r="R280" s="7">
        <v>600</v>
      </c>
      <c r="S280" s="161"/>
    </row>
    <row r="281" spans="1:19" ht="15" customHeight="1">
      <c r="A281" s="160" t="s">
        <v>1195</v>
      </c>
      <c r="B281" s="160" t="s">
        <v>1195</v>
      </c>
      <c r="C281" s="160" t="s">
        <v>1170</v>
      </c>
      <c r="D281" s="160"/>
      <c r="E281" s="160" t="s">
        <v>946</v>
      </c>
      <c r="F281" s="160" t="s">
        <v>1196</v>
      </c>
      <c r="G281" s="160"/>
      <c r="H281" s="204"/>
      <c r="I281" s="86" t="s">
        <v>1197</v>
      </c>
      <c r="J281" s="204">
        <v>103</v>
      </c>
      <c r="K281" s="205">
        <v>8.1</v>
      </c>
      <c r="L281" s="205">
        <v>7.7</v>
      </c>
      <c r="M281" s="205">
        <v>9.5</v>
      </c>
      <c r="N281" s="205">
        <v>5.4</v>
      </c>
      <c r="O281" s="205">
        <v>0.8</v>
      </c>
      <c r="P281" s="205">
        <v>0</v>
      </c>
      <c r="Q281" s="206">
        <v>0</v>
      </c>
      <c r="R281" s="7">
        <v>700</v>
      </c>
      <c r="S281" s="160"/>
    </row>
    <row r="282" spans="1:19" ht="15" customHeight="1">
      <c r="A282" s="161" t="s">
        <v>1198</v>
      </c>
      <c r="B282" s="161" t="s">
        <v>1198</v>
      </c>
      <c r="C282" s="161" t="s">
        <v>1199</v>
      </c>
      <c r="D282" s="161"/>
      <c r="E282" s="161" t="s">
        <v>303</v>
      </c>
      <c r="F282" s="161" t="s">
        <v>1200</v>
      </c>
      <c r="G282" s="161" t="s">
        <v>1201</v>
      </c>
      <c r="H282" s="207" t="s">
        <v>782</v>
      </c>
      <c r="I282" s="87" t="s">
        <v>1202</v>
      </c>
      <c r="J282" s="218">
        <v>351</v>
      </c>
      <c r="K282" s="219" t="s">
        <v>1203</v>
      </c>
      <c r="L282" s="219" t="s">
        <v>1204</v>
      </c>
      <c r="M282" s="219">
        <v>73</v>
      </c>
      <c r="N282" s="219" t="s">
        <v>1205</v>
      </c>
      <c r="O282" s="219">
        <v>12</v>
      </c>
      <c r="P282" s="219" t="s">
        <v>1206</v>
      </c>
      <c r="Q282" s="220" t="s">
        <v>1207</v>
      </c>
      <c r="R282" s="7">
        <v>400</v>
      </c>
      <c r="S282" s="161"/>
    </row>
    <row r="283" spans="1:19" ht="15" customHeight="1">
      <c r="A283" s="160" t="s">
        <v>1208</v>
      </c>
      <c r="B283" s="160" t="s">
        <v>1208</v>
      </c>
      <c r="C283" s="160" t="s">
        <v>1209</v>
      </c>
      <c r="D283" s="160"/>
      <c r="E283" s="160" t="s">
        <v>113</v>
      </c>
      <c r="F283" s="160" t="s">
        <v>1210</v>
      </c>
      <c r="G283" s="160" t="s">
        <v>128</v>
      </c>
      <c r="H283" s="204" t="s">
        <v>1211</v>
      </c>
      <c r="I283" s="86" t="s">
        <v>1212</v>
      </c>
      <c r="J283" s="204">
        <v>77</v>
      </c>
      <c r="K283" s="205">
        <v>2</v>
      </c>
      <c r="L283" s="205">
        <v>0.3</v>
      </c>
      <c r="M283" s="205">
        <v>9.9</v>
      </c>
      <c r="N283" s="205">
        <v>9.6999999999999993</v>
      </c>
      <c r="O283" s="205">
        <v>3.6</v>
      </c>
      <c r="P283" s="205">
        <v>0.2</v>
      </c>
      <c r="Q283" s="206">
        <v>0.6</v>
      </c>
      <c r="R283" s="7">
        <v>750</v>
      </c>
      <c r="S283" s="160"/>
    </row>
    <row r="284" spans="1:19" ht="15" customHeight="1">
      <c r="A284" s="161" t="s">
        <v>1213</v>
      </c>
      <c r="B284" s="161" t="s">
        <v>1213</v>
      </c>
      <c r="C284" s="161" t="s">
        <v>1214</v>
      </c>
      <c r="D284" s="161"/>
      <c r="E284" s="161" t="s">
        <v>249</v>
      </c>
      <c r="F284" s="160" t="s">
        <v>1215</v>
      </c>
      <c r="G284" s="161" t="s">
        <v>133</v>
      </c>
      <c r="H284" s="207"/>
      <c r="I284" s="86" t="s">
        <v>1216</v>
      </c>
      <c r="J284" s="207">
        <v>631</v>
      </c>
      <c r="K284" s="208">
        <v>70</v>
      </c>
      <c r="L284" s="208">
        <v>4.7</v>
      </c>
      <c r="M284" s="208">
        <v>2.4</v>
      </c>
      <c r="N284" s="208">
        <v>1.5</v>
      </c>
      <c r="O284" s="208">
        <v>0.1</v>
      </c>
      <c r="P284" s="208">
        <v>1</v>
      </c>
      <c r="Q284" s="209">
        <v>0</v>
      </c>
      <c r="R284" s="7">
        <v>600</v>
      </c>
      <c r="S284" s="161"/>
    </row>
    <row r="285" spans="1:19" ht="15" customHeight="1">
      <c r="A285" s="160" t="s">
        <v>1217</v>
      </c>
      <c r="B285" s="160" t="s">
        <v>1217</v>
      </c>
      <c r="C285" s="160" t="s">
        <v>775</v>
      </c>
      <c r="D285" s="160"/>
      <c r="E285" s="160" t="s">
        <v>249</v>
      </c>
      <c r="F285" s="160" t="s">
        <v>1218</v>
      </c>
      <c r="G285" s="160" t="s">
        <v>1219</v>
      </c>
      <c r="H285" s="204"/>
      <c r="I285" s="206"/>
      <c r="J285" s="204">
        <v>346</v>
      </c>
      <c r="K285" s="205">
        <v>31.9</v>
      </c>
      <c r="L285" s="205">
        <v>2.2000000000000002</v>
      </c>
      <c r="M285" s="205">
        <v>6.1</v>
      </c>
      <c r="N285" s="205">
        <v>4.3</v>
      </c>
      <c r="O285" s="205">
        <v>1.7</v>
      </c>
      <c r="P285" s="205">
        <v>0.7</v>
      </c>
      <c r="Q285" s="206">
        <v>0.3</v>
      </c>
      <c r="R285" s="7">
        <v>750</v>
      </c>
      <c r="S285" s="160"/>
    </row>
    <row r="286" spans="1:19" ht="15" customHeight="1">
      <c r="A286" s="161" t="s">
        <v>1220</v>
      </c>
      <c r="B286" s="161" t="s">
        <v>1220</v>
      </c>
      <c r="C286" s="161" t="s">
        <v>775</v>
      </c>
      <c r="D286" s="161"/>
      <c r="E286" s="161" t="s">
        <v>519</v>
      </c>
      <c r="F286" s="161" t="s">
        <v>1200</v>
      </c>
      <c r="G286" s="161" t="s">
        <v>1201</v>
      </c>
      <c r="H286" s="207" t="s">
        <v>782</v>
      </c>
      <c r="I286" s="209"/>
      <c r="J286" s="207">
        <v>146</v>
      </c>
      <c r="K286" s="208">
        <v>0.6</v>
      </c>
      <c r="L286" s="208">
        <v>0.1</v>
      </c>
      <c r="M286" s="208">
        <v>30.4</v>
      </c>
      <c r="N286" s="208">
        <v>1.6</v>
      </c>
      <c r="O286" s="208">
        <v>5</v>
      </c>
      <c r="P286" s="208">
        <v>0</v>
      </c>
      <c r="Q286" s="209">
        <v>1.2</v>
      </c>
      <c r="R286" s="7">
        <v>600</v>
      </c>
      <c r="S286" s="161"/>
    </row>
    <row r="287" spans="1:19" ht="15" customHeight="1">
      <c r="A287" s="160" t="s">
        <v>1221</v>
      </c>
      <c r="B287" s="160" t="s">
        <v>1221</v>
      </c>
      <c r="C287" s="160" t="s">
        <v>775</v>
      </c>
      <c r="D287" s="160"/>
      <c r="E287" s="160" t="s">
        <v>519</v>
      </c>
      <c r="F287" s="160" t="s">
        <v>1222</v>
      </c>
      <c r="G287" s="160"/>
      <c r="H287" s="204"/>
      <c r="I287" s="86" t="s">
        <v>1223</v>
      </c>
      <c r="J287" s="204">
        <v>105</v>
      </c>
      <c r="K287" s="205">
        <v>5.0999999999999996</v>
      </c>
      <c r="L287" s="205">
        <v>3.3</v>
      </c>
      <c r="M287" s="205">
        <v>7.8</v>
      </c>
      <c r="N287" s="205">
        <v>1.5</v>
      </c>
      <c r="O287" s="205">
        <v>6.9</v>
      </c>
      <c r="P287" s="205">
        <v>0.6</v>
      </c>
      <c r="Q287" s="206">
        <v>0.8</v>
      </c>
      <c r="R287" s="7">
        <v>1200</v>
      </c>
      <c r="S287" s="160"/>
    </row>
    <row r="288" spans="1:19" s="120" customFormat="1" ht="15" customHeight="1">
      <c r="A288" s="167" t="s">
        <v>1224</v>
      </c>
      <c r="B288" s="167" t="s">
        <v>1224</v>
      </c>
      <c r="C288" s="167" t="s">
        <v>1027</v>
      </c>
      <c r="D288" s="167">
        <v>646</v>
      </c>
      <c r="E288" s="167" t="s">
        <v>22</v>
      </c>
      <c r="F288" s="167" t="s">
        <v>1225</v>
      </c>
      <c r="G288" s="167" t="s">
        <v>1226</v>
      </c>
      <c r="H288" s="230" t="s">
        <v>327</v>
      </c>
      <c r="I288" s="121" t="s">
        <v>1227</v>
      </c>
      <c r="J288" s="230">
        <v>212</v>
      </c>
      <c r="K288" s="232">
        <v>0.9</v>
      </c>
      <c r="L288" s="232">
        <v>0.1</v>
      </c>
      <c r="M288" s="232">
        <v>41</v>
      </c>
      <c r="N288" s="232">
        <v>2.1</v>
      </c>
      <c r="O288" s="232">
        <v>7.5</v>
      </c>
      <c r="P288" s="232">
        <v>1.9</v>
      </c>
      <c r="Q288" s="231">
        <v>4.0999999999999996</v>
      </c>
      <c r="R288" s="119">
        <v>600</v>
      </c>
      <c r="S288" s="167"/>
    </row>
    <row r="289" spans="1:19" ht="15" customHeight="1">
      <c r="A289" s="168" t="s">
        <v>1228</v>
      </c>
      <c r="B289" s="168" t="s">
        <v>1228</v>
      </c>
      <c r="C289" s="168" t="s">
        <v>1229</v>
      </c>
      <c r="D289" s="168"/>
      <c r="E289" s="168" t="s">
        <v>22</v>
      </c>
      <c r="F289" s="168" t="s">
        <v>1230</v>
      </c>
      <c r="G289" s="168" t="s">
        <v>1188</v>
      </c>
      <c r="H289" s="210" t="s">
        <v>327</v>
      </c>
      <c r="I289" s="90" t="s">
        <v>1231</v>
      </c>
      <c r="J289" s="210">
        <v>340</v>
      </c>
      <c r="K289" s="234">
        <v>2.6</v>
      </c>
      <c r="L289" s="234">
        <v>0.5</v>
      </c>
      <c r="M289" s="234">
        <v>61</v>
      </c>
      <c r="N289" s="234">
        <v>1.6</v>
      </c>
      <c r="O289" s="234">
        <v>10</v>
      </c>
      <c r="P289" s="234">
        <v>1.4</v>
      </c>
      <c r="Q289" s="233">
        <v>20</v>
      </c>
      <c r="R289" s="7">
        <v>600</v>
      </c>
      <c r="S289" s="168"/>
    </row>
    <row r="290" spans="1:19" s="120" customFormat="1" ht="15" customHeight="1">
      <c r="A290" s="167" t="s">
        <v>1232</v>
      </c>
      <c r="B290" s="167" t="s">
        <v>1232</v>
      </c>
      <c r="C290" s="167" t="s">
        <v>775</v>
      </c>
      <c r="D290" s="167"/>
      <c r="E290" s="167" t="s">
        <v>519</v>
      </c>
      <c r="F290" s="167" t="s">
        <v>1233</v>
      </c>
      <c r="G290" s="167"/>
      <c r="H290" s="230"/>
      <c r="I290" s="231"/>
      <c r="J290" s="230">
        <v>102</v>
      </c>
      <c r="K290" s="232">
        <v>5.0999999999999996</v>
      </c>
      <c r="L290" s="232">
        <v>2</v>
      </c>
      <c r="M290" s="232">
        <v>7</v>
      </c>
      <c r="N290" s="232">
        <v>3</v>
      </c>
      <c r="O290" s="232">
        <v>7.8</v>
      </c>
      <c r="P290" s="232">
        <v>0.8</v>
      </c>
      <c r="Q290" s="231">
        <v>1.7</v>
      </c>
      <c r="R290" s="119">
        <v>600</v>
      </c>
      <c r="S290" s="167"/>
    </row>
    <row r="291" spans="1:19" ht="15" customHeight="1">
      <c r="A291" s="168" t="s">
        <v>1234</v>
      </c>
      <c r="B291" s="168" t="s">
        <v>1234</v>
      </c>
      <c r="C291" s="168" t="s">
        <v>1235</v>
      </c>
      <c r="D291" s="168"/>
      <c r="E291" s="168" t="s">
        <v>22</v>
      </c>
      <c r="F291" s="168" t="s">
        <v>1236</v>
      </c>
      <c r="G291" s="168" t="s">
        <v>30</v>
      </c>
      <c r="H291" s="210" t="s">
        <v>1237</v>
      </c>
      <c r="I291" s="90" t="s">
        <v>1238</v>
      </c>
      <c r="J291" s="210">
        <v>225.3</v>
      </c>
      <c r="K291" s="234">
        <v>2</v>
      </c>
      <c r="L291" s="234">
        <v>0.6</v>
      </c>
      <c r="M291" s="234">
        <v>48.5</v>
      </c>
      <c r="N291" s="234">
        <v>0.9</v>
      </c>
      <c r="O291" s="234">
        <v>7.4</v>
      </c>
      <c r="P291" s="234">
        <v>0.24</v>
      </c>
      <c r="Q291" s="233">
        <v>2</v>
      </c>
      <c r="R291" s="7">
        <v>1466</v>
      </c>
      <c r="S291" s="168"/>
    </row>
    <row r="292" spans="1:19" s="120" customFormat="1" ht="15" customHeight="1">
      <c r="A292" s="167" t="s">
        <v>1239</v>
      </c>
      <c r="B292" s="167" t="s">
        <v>1239</v>
      </c>
      <c r="C292" s="167" t="s">
        <v>1240</v>
      </c>
      <c r="D292" s="167">
        <v>812</v>
      </c>
      <c r="E292" s="167" t="s">
        <v>519</v>
      </c>
      <c r="F292" s="237" t="s">
        <v>1241</v>
      </c>
      <c r="G292" s="167"/>
      <c r="H292" s="230" t="s">
        <v>499</v>
      </c>
      <c r="I292" s="121" t="s">
        <v>1242</v>
      </c>
      <c r="J292" s="230">
        <v>139</v>
      </c>
      <c r="K292" s="232">
        <v>4.9000000000000004</v>
      </c>
      <c r="L292" s="232">
        <v>1.7</v>
      </c>
      <c r="M292" s="232">
        <v>13.7</v>
      </c>
      <c r="N292" s="232">
        <v>3.3</v>
      </c>
      <c r="O292" s="232">
        <v>8.3000000000000007</v>
      </c>
      <c r="P292" s="232">
        <v>0.7</v>
      </c>
      <c r="Q292" s="231">
        <v>3.1</v>
      </c>
      <c r="R292" s="119">
        <v>1200</v>
      </c>
      <c r="S292" s="167"/>
    </row>
    <row r="293" spans="1:19" ht="15" customHeight="1">
      <c r="A293" s="168" t="s">
        <v>1243</v>
      </c>
      <c r="B293" s="168" t="s">
        <v>1243</v>
      </c>
      <c r="C293" s="168" t="s">
        <v>775</v>
      </c>
      <c r="D293" s="168"/>
      <c r="E293" s="168" t="s">
        <v>519</v>
      </c>
      <c r="F293" s="160" t="s">
        <v>1244</v>
      </c>
      <c r="G293" s="168" t="s">
        <v>543</v>
      </c>
      <c r="H293" s="210"/>
      <c r="I293" s="233"/>
      <c r="J293" s="210">
        <v>88</v>
      </c>
      <c r="K293" s="234">
        <v>4.3</v>
      </c>
      <c r="L293" s="234">
        <v>3.2</v>
      </c>
      <c r="M293" s="234">
        <v>8.4</v>
      </c>
      <c r="N293" s="234">
        <v>1.4</v>
      </c>
      <c r="O293" s="234">
        <v>6.5</v>
      </c>
      <c r="P293" s="234">
        <v>0.5</v>
      </c>
      <c r="Q293" s="233">
        <v>0.6</v>
      </c>
      <c r="R293" s="7">
        <v>1500</v>
      </c>
      <c r="S293" s="168"/>
    </row>
    <row r="294" spans="1:19" ht="15" customHeight="1">
      <c r="A294" s="162" t="s">
        <v>1245</v>
      </c>
      <c r="B294" s="162" t="s">
        <v>1245</v>
      </c>
      <c r="C294" s="162" t="s">
        <v>175</v>
      </c>
      <c r="D294" s="168">
        <v>9170</v>
      </c>
      <c r="E294" s="162" t="s">
        <v>543</v>
      </c>
      <c r="F294" s="162" t="s">
        <v>1246</v>
      </c>
      <c r="G294" s="162" t="s">
        <v>1247</v>
      </c>
      <c r="H294" s="246"/>
      <c r="I294" s="88" t="s">
        <v>1248</v>
      </c>
      <c r="J294" s="246">
        <v>184</v>
      </c>
      <c r="K294" s="247">
        <v>6.5</v>
      </c>
      <c r="L294" s="247">
        <v>0.5</v>
      </c>
      <c r="M294" s="247">
        <v>17.3</v>
      </c>
      <c r="N294" s="247">
        <v>0.3</v>
      </c>
      <c r="O294" s="247">
        <v>14.1</v>
      </c>
      <c r="P294" s="247">
        <v>0.9</v>
      </c>
      <c r="Q294" s="214">
        <v>0</v>
      </c>
      <c r="R294" s="7">
        <v>1800</v>
      </c>
      <c r="S294" s="162"/>
    </row>
    <row r="295" spans="1:19" ht="15" customHeight="1">
      <c r="A295" s="6" t="s">
        <v>1249</v>
      </c>
      <c r="B295" s="6" t="s">
        <v>1249</v>
      </c>
      <c r="C295" s="6" t="s">
        <v>1250</v>
      </c>
      <c r="D295" s="6"/>
      <c r="E295" s="6" t="s">
        <v>113</v>
      </c>
      <c r="F295" t="s">
        <v>1251</v>
      </c>
      <c r="G295" s="6"/>
      <c r="H295" s="6"/>
      <c r="I295" s="91" t="s">
        <v>1252</v>
      </c>
      <c r="J295" s="138">
        <v>244</v>
      </c>
      <c r="K295" s="138">
        <v>24</v>
      </c>
      <c r="L295" s="138">
        <v>21</v>
      </c>
      <c r="M295" s="138" t="s">
        <v>1253</v>
      </c>
      <c r="N295" s="138" t="s">
        <v>1154</v>
      </c>
      <c r="O295" s="138">
        <v>0</v>
      </c>
      <c r="P295" s="138" t="s">
        <v>1254</v>
      </c>
      <c r="Q295" s="138">
        <v>0</v>
      </c>
      <c r="R295" s="7">
        <v>3500</v>
      </c>
      <c r="S295" s="6"/>
    </row>
    <row r="296" spans="1:19" ht="15" customHeight="1">
      <c r="A296" t="s">
        <v>1255</v>
      </c>
      <c r="B296" t="s">
        <v>1255</v>
      </c>
      <c r="C296" s="94" t="s">
        <v>1256</v>
      </c>
      <c r="D296" s="93">
        <v>208027</v>
      </c>
      <c r="E296" s="94" t="s">
        <v>113</v>
      </c>
      <c r="F296" t="s">
        <v>1257</v>
      </c>
      <c r="G296" s="94" t="s">
        <v>115</v>
      </c>
      <c r="H296" s="94"/>
      <c r="I296" s="95" t="s">
        <v>1258</v>
      </c>
      <c r="J296" s="139">
        <v>89</v>
      </c>
      <c r="K296" s="139">
        <v>2.1</v>
      </c>
      <c r="L296" s="139">
        <v>0.2</v>
      </c>
      <c r="M296" s="139">
        <v>16</v>
      </c>
      <c r="N296" s="139" t="s">
        <v>1259</v>
      </c>
      <c r="O296" s="139" t="s">
        <v>1260</v>
      </c>
      <c r="P296" s="139" t="s">
        <v>1261</v>
      </c>
      <c r="Q296" s="139" t="s">
        <v>1262</v>
      </c>
      <c r="R296" s="96">
        <v>800</v>
      </c>
      <c r="S296" s="94"/>
    </row>
    <row r="297" spans="1:19" ht="15" customHeight="1">
      <c r="A297" s="125" t="s">
        <v>1263</v>
      </c>
      <c r="B297" s="125" t="s">
        <v>1263</v>
      </c>
      <c r="C297" s="125" t="s">
        <v>1264</v>
      </c>
      <c r="D297" s="125" t="s">
        <v>1265</v>
      </c>
      <c r="E297" s="125" t="s">
        <v>303</v>
      </c>
      <c r="F297" s="125" t="s">
        <v>1266</v>
      </c>
      <c r="G297" s="125" t="s">
        <v>30</v>
      </c>
      <c r="H297" s="125"/>
      <c r="I297" s="129" t="s">
        <v>1267</v>
      </c>
      <c r="J297" s="140">
        <v>347</v>
      </c>
      <c r="K297" s="140">
        <v>1</v>
      </c>
      <c r="L297" s="140" t="s">
        <v>1268</v>
      </c>
      <c r="M297" s="140">
        <v>72</v>
      </c>
      <c r="N297" s="140" t="s">
        <v>817</v>
      </c>
      <c r="O297" s="140">
        <v>11</v>
      </c>
      <c r="P297" s="140">
        <v>0</v>
      </c>
      <c r="Q297" s="140">
        <v>3</v>
      </c>
      <c r="R297" s="126">
        <v>600</v>
      </c>
      <c r="S297" s="125"/>
    </row>
    <row r="298" spans="1:19" s="120" customFormat="1" ht="15" customHeight="1">
      <c r="A298" s="127" t="s">
        <v>1269</v>
      </c>
      <c r="B298" s="127" t="s">
        <v>1269</v>
      </c>
      <c r="C298" s="127"/>
      <c r="D298" s="127"/>
      <c r="E298" s="127" t="s">
        <v>303</v>
      </c>
      <c r="F298" s="127"/>
      <c r="G298" s="127"/>
      <c r="H298" s="127"/>
      <c r="I298" s="127"/>
      <c r="J298" s="141"/>
      <c r="K298" s="141"/>
      <c r="L298" s="141"/>
      <c r="M298" s="141"/>
      <c r="N298" s="141"/>
      <c r="O298" s="141"/>
      <c r="P298" s="141"/>
      <c r="Q298" s="141"/>
      <c r="R298" s="128">
        <v>600</v>
      </c>
      <c r="S298" s="127" t="s">
        <v>1270</v>
      </c>
    </row>
    <row r="299" spans="1:19" ht="15" customHeight="1">
      <c r="A299" s="125" t="s">
        <v>1271</v>
      </c>
      <c r="B299" s="125" t="s">
        <v>1271</v>
      </c>
      <c r="C299" s="125" t="s">
        <v>1272</v>
      </c>
      <c r="D299" s="125"/>
      <c r="E299" s="125" t="s">
        <v>1273</v>
      </c>
      <c r="F299" s="125" t="s">
        <v>1274</v>
      </c>
      <c r="G299" s="125"/>
      <c r="H299" s="125"/>
      <c r="I299" s="129" t="s">
        <v>1275</v>
      </c>
      <c r="J299" s="135">
        <v>900</v>
      </c>
      <c r="K299" s="135">
        <v>100</v>
      </c>
      <c r="L299" s="135">
        <v>15</v>
      </c>
      <c r="M299" s="135">
        <v>0</v>
      </c>
      <c r="N299" s="135">
        <v>0</v>
      </c>
      <c r="O299" s="135">
        <v>0</v>
      </c>
      <c r="P299" s="135">
        <v>0</v>
      </c>
      <c r="Q299" s="135">
        <v>0</v>
      </c>
      <c r="R299" s="126">
        <v>324</v>
      </c>
      <c r="S299" s="125"/>
    </row>
    <row r="300" spans="1:19" s="120" customFormat="1" ht="15" customHeight="1">
      <c r="A300" s="127" t="s">
        <v>1276</v>
      </c>
      <c r="B300" s="127" t="s">
        <v>1276</v>
      </c>
      <c r="C300" s="127" t="s">
        <v>1277</v>
      </c>
      <c r="D300" s="127"/>
      <c r="E300" s="127" t="s">
        <v>275</v>
      </c>
      <c r="F300" s="127" t="s">
        <v>1278</v>
      </c>
      <c r="G300" s="127"/>
      <c r="H300" s="127" t="s">
        <v>881</v>
      </c>
      <c r="I300" s="130" t="s">
        <v>1279</v>
      </c>
      <c r="J300" s="136">
        <v>311</v>
      </c>
      <c r="K300" s="136">
        <v>4</v>
      </c>
      <c r="L300" s="136" t="s">
        <v>1153</v>
      </c>
      <c r="M300" s="136">
        <v>38</v>
      </c>
      <c r="N300" s="136">
        <v>38</v>
      </c>
      <c r="O300" s="136">
        <v>18</v>
      </c>
      <c r="P300" s="136" t="s">
        <v>1204</v>
      </c>
      <c r="Q300" s="136">
        <v>0</v>
      </c>
      <c r="R300" s="128">
        <v>7633</v>
      </c>
      <c r="S300" s="127"/>
    </row>
    <row r="301" spans="1:19" ht="15" customHeight="1">
      <c r="A301" s="125" t="s">
        <v>1280</v>
      </c>
      <c r="B301" s="125" t="s">
        <v>1280</v>
      </c>
      <c r="C301" s="125"/>
      <c r="D301" s="125"/>
      <c r="E301" s="125" t="s">
        <v>514</v>
      </c>
      <c r="F301" s="125" t="s">
        <v>1281</v>
      </c>
      <c r="G301" s="125"/>
      <c r="H301" s="125"/>
      <c r="I301" s="125" t="s">
        <v>800</v>
      </c>
      <c r="J301" s="135">
        <v>24</v>
      </c>
      <c r="K301" s="135" t="s">
        <v>1268</v>
      </c>
      <c r="L301" s="135">
        <v>0</v>
      </c>
      <c r="M301" s="135" t="s">
        <v>1282</v>
      </c>
      <c r="N301" s="135">
        <v>0</v>
      </c>
      <c r="O301" s="135" t="s">
        <v>1283</v>
      </c>
      <c r="P301" s="135">
        <v>0</v>
      </c>
      <c r="Q301" s="135" t="s">
        <v>1284</v>
      </c>
      <c r="R301" s="126">
        <v>600</v>
      </c>
      <c r="S301" s="125"/>
    </row>
    <row r="302" spans="1:19" s="120" customFormat="1" ht="15" customHeight="1">
      <c r="A302" s="127" t="s">
        <v>1285</v>
      </c>
      <c r="B302" s="127" t="s">
        <v>1285</v>
      </c>
      <c r="C302" s="127"/>
      <c r="D302" s="127"/>
      <c r="E302" s="127" t="s">
        <v>479</v>
      </c>
      <c r="F302" s="127" t="s">
        <v>1285</v>
      </c>
      <c r="G302" s="127"/>
      <c r="H302" s="127"/>
      <c r="I302" s="127" t="s">
        <v>800</v>
      </c>
      <c r="J302" s="136">
        <v>35</v>
      </c>
      <c r="K302" s="136" t="s">
        <v>1268</v>
      </c>
      <c r="L302" s="136">
        <v>0</v>
      </c>
      <c r="M302" s="136">
        <v>10</v>
      </c>
      <c r="N302" s="136" t="s">
        <v>1286</v>
      </c>
      <c r="O302" s="136" t="s">
        <v>1153</v>
      </c>
      <c r="P302" s="136">
        <v>0</v>
      </c>
      <c r="Q302" s="136" t="s">
        <v>1287</v>
      </c>
      <c r="R302" s="128">
        <v>600</v>
      </c>
      <c r="S302" s="127"/>
    </row>
    <row r="303" spans="1:19" ht="15" customHeight="1">
      <c r="A303" s="125" t="s">
        <v>1288</v>
      </c>
      <c r="B303" s="125" t="s">
        <v>1288</v>
      </c>
      <c r="C303" s="125"/>
      <c r="D303" s="125"/>
      <c r="E303" s="125" t="s">
        <v>275</v>
      </c>
      <c r="F303" s="125" t="s">
        <v>1289</v>
      </c>
      <c r="G303" s="125"/>
      <c r="H303" s="125"/>
      <c r="I303" s="125" t="s">
        <v>800</v>
      </c>
      <c r="J303" s="135">
        <v>33</v>
      </c>
      <c r="K303" s="135" t="s">
        <v>817</v>
      </c>
      <c r="L303" s="135">
        <v>0</v>
      </c>
      <c r="M303" s="135" t="s">
        <v>1290</v>
      </c>
      <c r="N303" s="135" t="s">
        <v>1262</v>
      </c>
      <c r="O303" s="135" t="s">
        <v>1291</v>
      </c>
      <c r="P303" s="135" t="s">
        <v>1154</v>
      </c>
      <c r="Q303" s="135">
        <v>0</v>
      </c>
      <c r="R303" s="126">
        <v>600</v>
      </c>
      <c r="S303" s="125"/>
    </row>
    <row r="304" spans="1:19" s="120" customFormat="1" ht="15" customHeight="1">
      <c r="A304" s="127" t="s">
        <v>1292</v>
      </c>
      <c r="B304" s="127" t="s">
        <v>1292</v>
      </c>
      <c r="C304" s="127"/>
      <c r="D304" s="127"/>
      <c r="E304" s="127" t="s">
        <v>303</v>
      </c>
      <c r="F304" s="127"/>
      <c r="G304" s="127"/>
      <c r="H304" s="127"/>
      <c r="I304" s="127"/>
      <c r="J304" s="136"/>
      <c r="K304" s="136"/>
      <c r="L304" s="136"/>
      <c r="M304" s="136"/>
      <c r="N304" s="136"/>
      <c r="O304" s="136"/>
      <c r="P304" s="136"/>
      <c r="Q304" s="136"/>
      <c r="R304" s="128">
        <v>800</v>
      </c>
      <c r="S304" s="127" t="s">
        <v>1270</v>
      </c>
    </row>
    <row r="305" spans="1:19" ht="15" customHeight="1">
      <c r="A305" s="125" t="s">
        <v>1293</v>
      </c>
      <c r="B305" s="125" t="s">
        <v>1293</v>
      </c>
      <c r="C305" s="125"/>
      <c r="D305" s="125"/>
      <c r="E305" s="125" t="s">
        <v>543</v>
      </c>
      <c r="F305" s="125"/>
      <c r="G305" s="125"/>
      <c r="H305" s="125"/>
      <c r="I305" s="125" t="s">
        <v>800</v>
      </c>
      <c r="J305" s="135">
        <v>82</v>
      </c>
      <c r="K305" s="135" t="s">
        <v>1268</v>
      </c>
      <c r="L305" s="135">
        <v>0</v>
      </c>
      <c r="M305" s="135">
        <v>0</v>
      </c>
      <c r="N305" s="135">
        <v>0</v>
      </c>
      <c r="O305" s="135" t="s">
        <v>1294</v>
      </c>
      <c r="P305" s="135">
        <v>0</v>
      </c>
      <c r="Q305" s="135">
        <v>0</v>
      </c>
      <c r="R305" s="126">
        <v>1900</v>
      </c>
      <c r="S305" s="125"/>
    </row>
    <row r="306" spans="1:19" s="120" customFormat="1" ht="15" customHeight="1">
      <c r="A306" s="127" t="s">
        <v>1295</v>
      </c>
      <c r="B306" s="127" t="s">
        <v>1295</v>
      </c>
      <c r="C306" s="127"/>
      <c r="D306" s="127"/>
      <c r="E306" s="127" t="s">
        <v>1296</v>
      </c>
      <c r="F306" s="127"/>
      <c r="G306" s="127"/>
      <c r="H306" s="127"/>
      <c r="I306" s="127"/>
      <c r="J306" s="136"/>
      <c r="K306" s="136"/>
      <c r="L306" s="136"/>
      <c r="M306" s="136"/>
      <c r="N306" s="136"/>
      <c r="O306" s="136"/>
      <c r="P306" s="136"/>
      <c r="Q306" s="136"/>
      <c r="R306" s="128">
        <v>1800</v>
      </c>
      <c r="S306" s="127" t="s">
        <v>1270</v>
      </c>
    </row>
    <row r="307" spans="1:19" ht="15" customHeight="1">
      <c r="A307" s="125" t="s">
        <v>1297</v>
      </c>
      <c r="B307" s="125" t="s">
        <v>1297</v>
      </c>
      <c r="C307" s="125"/>
      <c r="D307" s="125"/>
      <c r="E307" s="125" t="s">
        <v>275</v>
      </c>
      <c r="F307" s="125" t="s">
        <v>1298</v>
      </c>
      <c r="G307" s="125"/>
      <c r="H307" s="125"/>
      <c r="I307" s="125" t="s">
        <v>800</v>
      </c>
      <c r="J307" s="135">
        <v>83</v>
      </c>
      <c r="K307" s="135" t="s">
        <v>1299</v>
      </c>
      <c r="L307" s="135" t="s">
        <v>1268</v>
      </c>
      <c r="M307" s="135" t="s">
        <v>1300</v>
      </c>
      <c r="N307" s="135">
        <v>0</v>
      </c>
      <c r="O307" s="135" t="s">
        <v>1301</v>
      </c>
      <c r="P307" s="135">
        <v>0</v>
      </c>
      <c r="Q307" s="135">
        <v>2</v>
      </c>
      <c r="R307" s="126">
        <v>600</v>
      </c>
      <c r="S307" s="125"/>
    </row>
    <row r="308" spans="1:19" s="120" customFormat="1" ht="15" customHeight="1">
      <c r="A308" s="127" t="s">
        <v>1302</v>
      </c>
      <c r="B308" s="127" t="s">
        <v>1302</v>
      </c>
      <c r="C308" s="127" t="s">
        <v>1303</v>
      </c>
      <c r="D308" s="127">
        <v>10100171</v>
      </c>
      <c r="E308" s="127" t="s">
        <v>1273</v>
      </c>
      <c r="F308" t="s">
        <v>1304</v>
      </c>
      <c r="G308" s="127" t="s">
        <v>205</v>
      </c>
      <c r="H308" s="127"/>
      <c r="I308" s="130" t="s">
        <v>1305</v>
      </c>
      <c r="J308" s="136">
        <v>61</v>
      </c>
      <c r="K308" s="136">
        <v>0</v>
      </c>
      <c r="L308" s="136">
        <v>0</v>
      </c>
      <c r="M308" s="136" t="s">
        <v>1306</v>
      </c>
      <c r="N308" s="136">
        <v>0</v>
      </c>
      <c r="O308" s="136">
        <v>9</v>
      </c>
      <c r="P308" s="136" t="s">
        <v>1307</v>
      </c>
      <c r="Q308" s="136" t="s">
        <v>1299</v>
      </c>
      <c r="R308" s="128">
        <v>600</v>
      </c>
      <c r="S308" s="127"/>
    </row>
    <row r="309" spans="1:19" ht="15" customHeight="1">
      <c r="A309" s="125" t="s">
        <v>1308</v>
      </c>
      <c r="B309" s="125" t="s">
        <v>1308</v>
      </c>
      <c r="C309" s="125"/>
      <c r="D309" s="125"/>
      <c r="E309" s="125" t="s">
        <v>303</v>
      </c>
      <c r="F309" s="125"/>
      <c r="G309" s="125"/>
      <c r="H309" s="125"/>
      <c r="I309" s="125"/>
      <c r="J309" s="140"/>
      <c r="K309" s="140"/>
      <c r="L309" s="140"/>
      <c r="M309" s="140"/>
      <c r="N309" s="140"/>
      <c r="O309" s="140"/>
      <c r="P309" s="140"/>
      <c r="Q309" s="140"/>
      <c r="R309" s="126">
        <v>600</v>
      </c>
      <c r="S309" s="125" t="s">
        <v>1270</v>
      </c>
    </row>
    <row r="310" spans="1:19" s="120" customFormat="1" ht="15" customHeight="1">
      <c r="A310" s="127" t="s">
        <v>1309</v>
      </c>
      <c r="B310" s="127" t="s">
        <v>1309</v>
      </c>
      <c r="C310" s="127"/>
      <c r="D310" s="127"/>
      <c r="E310" s="127" t="s">
        <v>303</v>
      </c>
      <c r="F310" s="127"/>
      <c r="G310" s="127"/>
      <c r="H310" s="127"/>
      <c r="I310" s="127"/>
      <c r="J310" s="141"/>
      <c r="K310" s="141"/>
      <c r="L310" s="141"/>
      <c r="M310" s="141"/>
      <c r="N310" s="141"/>
      <c r="O310" s="141"/>
      <c r="P310" s="141"/>
      <c r="Q310" s="141"/>
      <c r="R310" s="128">
        <v>350</v>
      </c>
      <c r="S310" s="127" t="s">
        <v>1270</v>
      </c>
    </row>
    <row r="311" spans="1:19" ht="15" customHeight="1">
      <c r="A311" s="125" t="s">
        <v>1310</v>
      </c>
      <c r="B311" s="125" t="s">
        <v>1310</v>
      </c>
      <c r="C311" s="125"/>
      <c r="D311" s="125"/>
      <c r="E311" s="125" t="s">
        <v>303</v>
      </c>
      <c r="F311" s="125"/>
      <c r="G311" s="125"/>
      <c r="H311" s="125"/>
      <c r="I311" s="125"/>
      <c r="J311" s="140"/>
      <c r="K311" s="140"/>
      <c r="L311" s="140"/>
      <c r="M311" s="140"/>
      <c r="N311" s="140"/>
      <c r="O311" s="140"/>
      <c r="P311" s="140"/>
      <c r="Q311" s="140"/>
      <c r="R311" s="126">
        <v>350</v>
      </c>
      <c r="S311" s="125" t="s">
        <v>1270</v>
      </c>
    </row>
    <row r="312" spans="1:19" s="120" customFormat="1" ht="15" customHeight="1">
      <c r="A312" s="127" t="s">
        <v>1311</v>
      </c>
      <c r="B312" s="127" t="s">
        <v>1311</v>
      </c>
      <c r="C312" s="127"/>
      <c r="D312" s="127"/>
      <c r="E312" s="127" t="s">
        <v>1312</v>
      </c>
      <c r="F312" s="127"/>
      <c r="G312" s="127"/>
      <c r="H312" s="127"/>
      <c r="I312" s="127"/>
      <c r="J312" s="141"/>
      <c r="K312" s="141"/>
      <c r="L312" s="141"/>
      <c r="M312" s="141"/>
      <c r="N312" s="141"/>
      <c r="O312" s="141"/>
      <c r="P312" s="141"/>
      <c r="Q312" s="141"/>
      <c r="R312" s="128">
        <v>350</v>
      </c>
      <c r="S312" s="127" t="s">
        <v>1270</v>
      </c>
    </row>
    <row r="313" spans="1:19" ht="15" customHeight="1">
      <c r="A313" s="125" t="s">
        <v>1313</v>
      </c>
      <c r="B313" s="125" t="s">
        <v>1313</v>
      </c>
      <c r="C313" s="125"/>
      <c r="D313" s="125"/>
      <c r="E313" s="125" t="s">
        <v>1312</v>
      </c>
      <c r="F313" s="125"/>
      <c r="G313" s="125"/>
      <c r="H313" s="125"/>
      <c r="I313" s="125"/>
      <c r="J313" s="140"/>
      <c r="K313" s="140"/>
      <c r="L313" s="140"/>
      <c r="M313" s="140"/>
      <c r="N313" s="140"/>
      <c r="O313" s="140"/>
      <c r="P313" s="140"/>
      <c r="Q313" s="140"/>
      <c r="R313" s="126">
        <v>1200</v>
      </c>
      <c r="S313" s="125" t="s">
        <v>1270</v>
      </c>
    </row>
    <row r="314" spans="1:19" s="120" customFormat="1" ht="15" customHeight="1">
      <c r="A314" s="127" t="s">
        <v>1314</v>
      </c>
      <c r="B314" s="127" t="s">
        <v>1314</v>
      </c>
      <c r="C314" s="127"/>
      <c r="D314" s="127"/>
      <c r="E314" s="127" t="s">
        <v>1312</v>
      </c>
      <c r="F314" s="127" t="s">
        <v>1315</v>
      </c>
      <c r="G314" s="127"/>
      <c r="H314" s="127"/>
      <c r="I314" s="130" t="s">
        <v>1316</v>
      </c>
      <c r="J314" s="141">
        <v>361</v>
      </c>
      <c r="K314" s="141" t="s">
        <v>1283</v>
      </c>
      <c r="L314" s="141" t="s">
        <v>1154</v>
      </c>
      <c r="M314" s="141">
        <v>59</v>
      </c>
      <c r="N314" s="141" t="s">
        <v>1317</v>
      </c>
      <c r="O314" s="141">
        <v>27</v>
      </c>
      <c r="P314" s="141">
        <v>0</v>
      </c>
      <c r="Q314" s="141" t="s">
        <v>1318</v>
      </c>
      <c r="R314" s="248">
        <v>400</v>
      </c>
      <c r="S314" s="127"/>
    </row>
    <row r="315" spans="1:19" s="134" customFormat="1" ht="15" customHeight="1">
      <c r="A315" s="132" t="s">
        <v>1319</v>
      </c>
      <c r="B315" s="132" t="s">
        <v>1319</v>
      </c>
      <c r="C315" s="132"/>
      <c r="D315" s="132"/>
      <c r="E315" s="132" t="s">
        <v>1296</v>
      </c>
      <c r="F315" s="132"/>
      <c r="G315" s="132"/>
      <c r="H315" s="132"/>
      <c r="I315" s="132"/>
      <c r="J315" s="142"/>
      <c r="K315" s="142"/>
      <c r="L315" s="142"/>
      <c r="M315" s="142"/>
      <c r="N315" s="142"/>
      <c r="O315" s="142"/>
      <c r="P315" s="142"/>
      <c r="Q315" s="142"/>
      <c r="R315" s="133">
        <v>1900</v>
      </c>
      <c r="S315" s="132" t="s">
        <v>1270</v>
      </c>
    </row>
    <row r="316" spans="1:19" s="120" customFormat="1" ht="15" customHeight="1">
      <c r="A316" s="127" t="s">
        <v>1320</v>
      </c>
      <c r="B316" s="127" t="s">
        <v>1320</v>
      </c>
      <c r="C316" s="127"/>
      <c r="D316" s="127"/>
      <c r="E316" s="132" t="s">
        <v>1296</v>
      </c>
      <c r="F316" s="127"/>
      <c r="G316" s="127"/>
      <c r="H316" s="127"/>
      <c r="I316" s="127"/>
      <c r="J316" s="141"/>
      <c r="K316" s="141"/>
      <c r="L316" s="141"/>
      <c r="M316" s="141"/>
      <c r="N316" s="141"/>
      <c r="O316" s="141"/>
      <c r="P316" s="141"/>
      <c r="Q316" s="141"/>
      <c r="R316" s="128">
        <v>2500</v>
      </c>
      <c r="S316" s="127" t="s">
        <v>1270</v>
      </c>
    </row>
    <row r="317" spans="1:19" ht="15" customHeight="1">
      <c r="A317" s="125" t="s">
        <v>1321</v>
      </c>
      <c r="B317" s="125" t="s">
        <v>1321</v>
      </c>
      <c r="C317" s="125"/>
      <c r="D317" s="125"/>
      <c r="E317" s="125" t="s">
        <v>303</v>
      </c>
      <c r="F317" s="125"/>
      <c r="G317" s="125"/>
      <c r="H317" s="125"/>
      <c r="I317" s="125"/>
      <c r="J317" s="140"/>
      <c r="K317" s="140"/>
      <c r="L317" s="140"/>
      <c r="M317" s="140"/>
      <c r="N317" s="140"/>
      <c r="O317" s="140"/>
      <c r="P317" s="140"/>
      <c r="Q317" s="140"/>
      <c r="R317" s="126">
        <v>450</v>
      </c>
      <c r="S317" s="125" t="s">
        <v>1270</v>
      </c>
    </row>
    <row r="318" spans="1:19" s="120" customFormat="1" ht="15" customHeight="1">
      <c r="A318" s="127" t="s">
        <v>1322</v>
      </c>
      <c r="B318" s="127" t="s">
        <v>1322</v>
      </c>
      <c r="C318" s="127"/>
      <c r="D318" s="127"/>
      <c r="E318" s="127" t="s">
        <v>1323</v>
      </c>
      <c r="F318" s="127"/>
      <c r="G318" s="127"/>
      <c r="H318" s="127"/>
      <c r="I318" s="127"/>
      <c r="J318" s="141"/>
      <c r="K318" s="141"/>
      <c r="L318" s="141"/>
      <c r="M318" s="141"/>
      <c r="N318" s="141"/>
      <c r="O318" s="141"/>
      <c r="P318" s="141"/>
      <c r="Q318" s="141"/>
      <c r="R318" s="128">
        <v>600</v>
      </c>
      <c r="S318" s="127" t="s">
        <v>1270</v>
      </c>
    </row>
    <row r="319" spans="1:19" ht="15" customHeight="1">
      <c r="A319" s="125" t="s">
        <v>1324</v>
      </c>
      <c r="B319" s="125" t="s">
        <v>1324</v>
      </c>
      <c r="C319" s="125"/>
      <c r="D319" s="125"/>
      <c r="E319" s="125" t="s">
        <v>22</v>
      </c>
      <c r="F319" s="125"/>
      <c r="G319" s="125"/>
      <c r="H319" s="125"/>
      <c r="I319" s="125"/>
      <c r="J319" s="140"/>
      <c r="K319" s="140"/>
      <c r="L319" s="140"/>
      <c r="M319" s="140"/>
      <c r="N319" s="140"/>
      <c r="O319" s="140"/>
      <c r="P319" s="140"/>
      <c r="Q319" s="140"/>
      <c r="R319" s="126">
        <v>600</v>
      </c>
      <c r="S319" s="125" t="s">
        <v>1270</v>
      </c>
    </row>
    <row r="320" spans="1:19" s="120" customFormat="1" ht="15" customHeight="1">
      <c r="A320" s="127" t="s">
        <v>1325</v>
      </c>
      <c r="B320" s="127" t="s">
        <v>1325</v>
      </c>
      <c r="C320" s="127"/>
      <c r="D320" s="127"/>
      <c r="E320" s="127" t="s">
        <v>275</v>
      </c>
      <c r="F320" s="127"/>
      <c r="G320" s="127"/>
      <c r="H320" s="127"/>
      <c r="I320" s="127"/>
      <c r="J320" s="141"/>
      <c r="K320" s="141"/>
      <c r="L320" s="141"/>
      <c r="M320" s="141"/>
      <c r="N320" s="141"/>
      <c r="O320" s="141"/>
      <c r="P320" s="141"/>
      <c r="Q320" s="141"/>
      <c r="R320" s="128">
        <v>600</v>
      </c>
      <c r="S320" s="127" t="s">
        <v>1270</v>
      </c>
    </row>
    <row r="321" spans="1:19" ht="15" customHeight="1">
      <c r="A321" s="125" t="s">
        <v>1326</v>
      </c>
      <c r="B321" s="125" t="s">
        <v>1326</v>
      </c>
      <c r="C321" s="125"/>
      <c r="D321" s="125"/>
      <c r="E321" s="125" t="s">
        <v>275</v>
      </c>
      <c r="F321" s="125"/>
      <c r="G321" s="125"/>
      <c r="H321" s="125"/>
      <c r="I321" s="125"/>
      <c r="J321" s="140"/>
      <c r="K321" s="140"/>
      <c r="L321" s="140"/>
      <c r="M321" s="140"/>
      <c r="N321" s="140"/>
      <c r="O321" s="140"/>
      <c r="P321" s="140"/>
      <c r="Q321" s="140"/>
      <c r="R321" s="126">
        <v>1200</v>
      </c>
      <c r="S321" s="125" t="s">
        <v>1270</v>
      </c>
    </row>
    <row r="322" spans="1:19" s="120" customFormat="1" ht="15" customHeight="1">
      <c r="A322" s="127" t="s">
        <v>1327</v>
      </c>
      <c r="B322" s="127" t="s">
        <v>1327</v>
      </c>
      <c r="C322" s="127"/>
      <c r="D322" s="127"/>
      <c r="E322" s="127" t="s">
        <v>275</v>
      </c>
      <c r="F322" s="127"/>
      <c r="G322" s="127"/>
      <c r="H322" s="127"/>
      <c r="I322" s="127"/>
      <c r="J322" s="141"/>
      <c r="K322" s="141"/>
      <c r="L322" s="141"/>
      <c r="M322" s="141"/>
      <c r="N322" s="141"/>
      <c r="O322" s="141"/>
      <c r="P322" s="141"/>
      <c r="Q322" s="141"/>
      <c r="R322" s="128">
        <v>600</v>
      </c>
      <c r="S322" s="127" t="s">
        <v>1270</v>
      </c>
    </row>
    <row r="323" spans="1:19" ht="15" customHeight="1">
      <c r="A323" s="125" t="s">
        <v>1328</v>
      </c>
      <c r="B323" s="125" t="s">
        <v>1328</v>
      </c>
      <c r="C323" s="125"/>
      <c r="D323" s="125"/>
      <c r="E323" s="125" t="s">
        <v>113</v>
      </c>
      <c r="F323" s="125"/>
      <c r="G323" s="125"/>
      <c r="H323" s="125"/>
      <c r="I323" s="125"/>
      <c r="J323" s="140"/>
      <c r="K323" s="140"/>
      <c r="L323" s="140"/>
      <c r="M323" s="140"/>
      <c r="N323" s="140"/>
      <c r="O323" s="140"/>
      <c r="P323" s="140"/>
      <c r="Q323" s="140"/>
      <c r="R323" s="126">
        <v>1200</v>
      </c>
      <c r="S323" s="125" t="s">
        <v>1270</v>
      </c>
    </row>
    <row r="324" spans="1:19" s="120" customFormat="1" ht="15" customHeight="1">
      <c r="A324" s="127" t="s">
        <v>1329</v>
      </c>
      <c r="B324" s="127" t="s">
        <v>1329</v>
      </c>
      <c r="C324" s="127"/>
      <c r="D324" s="127"/>
      <c r="E324" s="127" t="s">
        <v>99</v>
      </c>
      <c r="F324" s="127"/>
      <c r="G324" s="127"/>
      <c r="H324" s="127"/>
      <c r="I324" s="127"/>
      <c r="J324" s="141"/>
      <c r="K324" s="141"/>
      <c r="L324" s="141"/>
      <c r="M324" s="141"/>
      <c r="N324" s="141"/>
      <c r="O324" s="141"/>
      <c r="P324" s="141"/>
      <c r="Q324" s="141"/>
      <c r="R324" s="128">
        <v>2800</v>
      </c>
      <c r="S324" s="127" t="s">
        <v>1270</v>
      </c>
    </row>
    <row r="325" spans="1:19" ht="15" customHeight="1">
      <c r="A325" s="125" t="s">
        <v>1330</v>
      </c>
      <c r="B325" s="125" t="s">
        <v>1330</v>
      </c>
      <c r="C325" s="125" t="s">
        <v>391</v>
      </c>
      <c r="D325" s="125"/>
      <c r="E325" s="125" t="s">
        <v>99</v>
      </c>
      <c r="F325" s="125" t="s">
        <v>1331</v>
      </c>
      <c r="G325" s="125" t="s">
        <v>108</v>
      </c>
      <c r="H325" s="125"/>
      <c r="I325" s="131" t="s">
        <v>1332</v>
      </c>
      <c r="J325" s="140">
        <v>360</v>
      </c>
      <c r="K325" s="140">
        <v>32</v>
      </c>
      <c r="L325" s="140">
        <v>11</v>
      </c>
      <c r="M325" s="140" t="s">
        <v>1333</v>
      </c>
      <c r="N325" s="140" t="s">
        <v>1301</v>
      </c>
      <c r="O325" s="140">
        <v>15</v>
      </c>
      <c r="P325" s="140" t="s">
        <v>1334</v>
      </c>
      <c r="Q325" s="140">
        <v>0</v>
      </c>
      <c r="R325" s="126">
        <v>2800</v>
      </c>
      <c r="S325" s="125"/>
    </row>
    <row r="326" spans="1:19" s="120" customFormat="1" ht="15" customHeight="1">
      <c r="A326" s="127" t="s">
        <v>1335</v>
      </c>
      <c r="B326" s="127" t="s">
        <v>1335</v>
      </c>
      <c r="C326" s="127"/>
      <c r="D326" s="127"/>
      <c r="E326" s="127" t="s">
        <v>303</v>
      </c>
      <c r="F326" s="127"/>
      <c r="G326" s="127"/>
      <c r="H326" s="127"/>
      <c r="I326" s="127"/>
      <c r="J326" s="141"/>
      <c r="K326" s="141"/>
      <c r="L326" s="141"/>
      <c r="M326" s="141"/>
      <c r="N326" s="141"/>
      <c r="O326" s="141"/>
      <c r="P326" s="141"/>
      <c r="Q326" s="141"/>
      <c r="R326" s="128">
        <v>1500</v>
      </c>
      <c r="S326" s="127" t="s">
        <v>1270</v>
      </c>
    </row>
    <row r="327" spans="1:19" ht="15" customHeight="1">
      <c r="A327" s="125" t="s">
        <v>1336</v>
      </c>
      <c r="B327" s="125" t="s">
        <v>1336</v>
      </c>
      <c r="C327" s="125"/>
      <c r="D327" s="125"/>
      <c r="E327" s="125" t="s">
        <v>479</v>
      </c>
      <c r="F327" s="125"/>
      <c r="G327" s="125"/>
      <c r="H327" s="125"/>
      <c r="I327" s="125"/>
      <c r="J327" s="140"/>
      <c r="K327" s="140"/>
      <c r="L327" s="140"/>
      <c r="M327" s="140"/>
      <c r="N327" s="140"/>
      <c r="O327" s="140"/>
      <c r="P327" s="140"/>
      <c r="Q327" s="140"/>
      <c r="R327" s="126">
        <v>600</v>
      </c>
      <c r="S327" s="125" t="s">
        <v>1270</v>
      </c>
    </row>
    <row r="328" spans="1:19" s="120" customFormat="1" ht="15" customHeight="1">
      <c r="A328" s="127" t="s">
        <v>1337</v>
      </c>
      <c r="B328" s="127" t="s">
        <v>1337</v>
      </c>
      <c r="C328" s="127"/>
      <c r="D328" s="127"/>
      <c r="E328" s="127" t="s">
        <v>113</v>
      </c>
      <c r="F328" s="127"/>
      <c r="G328" s="127"/>
      <c r="H328" s="127"/>
      <c r="I328" s="127"/>
      <c r="J328" s="141"/>
      <c r="K328" s="141"/>
      <c r="L328" s="141"/>
      <c r="M328" s="141"/>
      <c r="N328" s="141"/>
      <c r="O328" s="141"/>
      <c r="P328" s="141"/>
      <c r="Q328" s="141"/>
      <c r="R328" s="128">
        <v>1800</v>
      </c>
      <c r="S328" s="127" t="s">
        <v>1270</v>
      </c>
    </row>
    <row r="329" spans="1:19" ht="15" customHeight="1">
      <c r="A329" s="125" t="s">
        <v>1338</v>
      </c>
      <c r="B329" s="125" t="s">
        <v>1338</v>
      </c>
      <c r="C329" s="125"/>
      <c r="D329" s="125"/>
      <c r="E329" s="125" t="s">
        <v>22</v>
      </c>
      <c r="F329" s="125"/>
      <c r="G329" s="125"/>
      <c r="H329" s="125"/>
      <c r="I329" s="125"/>
      <c r="J329" s="140"/>
      <c r="K329" s="140"/>
      <c r="L329" s="140"/>
      <c r="M329" s="140"/>
      <c r="N329" s="140"/>
      <c r="O329" s="140"/>
      <c r="P329" s="140"/>
      <c r="Q329" s="140"/>
      <c r="R329" s="126">
        <v>600</v>
      </c>
      <c r="S329" s="125" t="s">
        <v>1270</v>
      </c>
    </row>
    <row r="330" spans="1:19" s="120" customFormat="1" ht="15" customHeight="1">
      <c r="A330" s="127" t="s">
        <v>1339</v>
      </c>
      <c r="B330" s="127" t="s">
        <v>1339</v>
      </c>
      <c r="C330" s="127" t="s">
        <v>1340</v>
      </c>
      <c r="D330" s="127">
        <v>31083120</v>
      </c>
      <c r="E330" s="127" t="s">
        <v>303</v>
      </c>
      <c r="F330" s="127" t="s">
        <v>1341</v>
      </c>
      <c r="G330" s="127" t="s">
        <v>30</v>
      </c>
      <c r="H330" s="127"/>
      <c r="I330" s="130" t="s">
        <v>1342</v>
      </c>
      <c r="J330" s="141">
        <v>400</v>
      </c>
      <c r="K330" s="141">
        <v>3</v>
      </c>
      <c r="L330" s="141">
        <v>0</v>
      </c>
      <c r="M330" s="141">
        <v>80</v>
      </c>
      <c r="N330" s="141">
        <v>0</v>
      </c>
      <c r="O330" s="141">
        <v>14</v>
      </c>
      <c r="P330" s="141">
        <v>0</v>
      </c>
      <c r="Q330" s="141">
        <v>0</v>
      </c>
      <c r="R330" s="128">
        <v>500</v>
      </c>
      <c r="S330" s="127" t="s">
        <v>1270</v>
      </c>
    </row>
    <row r="331" spans="1:19" ht="15" customHeight="1">
      <c r="A331" s="125" t="s">
        <v>1343</v>
      </c>
      <c r="B331" s="125" t="s">
        <v>1343</v>
      </c>
      <c r="C331" s="125"/>
      <c r="D331" s="125"/>
      <c r="E331" s="125" t="s">
        <v>303</v>
      </c>
      <c r="F331" s="125"/>
      <c r="G331" s="125"/>
      <c r="H331" s="125"/>
      <c r="I331" s="125"/>
      <c r="J331" s="140"/>
      <c r="K331" s="140"/>
      <c r="L331" s="140"/>
      <c r="M331" s="140"/>
      <c r="N331" s="140"/>
      <c r="O331" s="140"/>
      <c r="P331" s="140"/>
      <c r="Q331" s="140"/>
      <c r="R331" s="126">
        <v>800</v>
      </c>
      <c r="S331" s="125" t="s">
        <v>1270</v>
      </c>
    </row>
    <row r="332" spans="1:19" s="120" customFormat="1" ht="15" customHeight="1">
      <c r="A332" s="127" t="s">
        <v>1344</v>
      </c>
      <c r="B332" s="127" t="s">
        <v>1344</v>
      </c>
      <c r="C332" s="127"/>
      <c r="D332" s="127"/>
      <c r="E332" s="127" t="s">
        <v>1296</v>
      </c>
      <c r="F332" s="127"/>
      <c r="G332" s="127"/>
      <c r="H332" s="127"/>
      <c r="I332" s="127"/>
      <c r="J332" s="141"/>
      <c r="K332" s="141"/>
      <c r="L332" s="141"/>
      <c r="M332" s="141"/>
      <c r="N332" s="141"/>
      <c r="O332" s="141"/>
      <c r="P332" s="141"/>
      <c r="Q332" s="141"/>
      <c r="R332" s="128">
        <v>1900</v>
      </c>
      <c r="S332" s="127" t="s">
        <v>1270</v>
      </c>
    </row>
    <row r="333" spans="1:19" ht="15" customHeight="1">
      <c r="A333" s="125" t="s">
        <v>1345</v>
      </c>
      <c r="B333" s="125" t="s">
        <v>1345</v>
      </c>
      <c r="C333" s="125"/>
      <c r="D333" s="125"/>
      <c r="E333" s="125" t="s">
        <v>514</v>
      </c>
      <c r="F333" s="125" t="s">
        <v>1345</v>
      </c>
      <c r="G333" s="125"/>
      <c r="H333" s="125"/>
      <c r="I333" s="125" t="s">
        <v>800</v>
      </c>
      <c r="J333" s="140">
        <v>35</v>
      </c>
      <c r="K333" s="140" t="s">
        <v>1154</v>
      </c>
      <c r="L333" s="140" t="s">
        <v>1346</v>
      </c>
      <c r="M333" s="140" t="s">
        <v>1347</v>
      </c>
      <c r="N333" s="140" t="s">
        <v>1348</v>
      </c>
      <c r="O333" s="140" t="s">
        <v>1349</v>
      </c>
      <c r="P333" s="140" t="s">
        <v>1206</v>
      </c>
      <c r="Q333" s="140" t="s">
        <v>1350</v>
      </c>
      <c r="R333" s="126">
        <v>600</v>
      </c>
      <c r="S333" s="125"/>
    </row>
    <row r="334" spans="1:19" s="120" customFormat="1" ht="15" customHeight="1">
      <c r="A334" s="127" t="s">
        <v>1351</v>
      </c>
      <c r="B334" s="127" t="s">
        <v>1351</v>
      </c>
      <c r="C334" s="127"/>
      <c r="D334" s="127"/>
      <c r="E334" s="127" t="s">
        <v>514</v>
      </c>
      <c r="F334" s="127"/>
      <c r="G334" s="127"/>
      <c r="H334" s="127"/>
      <c r="I334" s="127"/>
      <c r="J334" s="141"/>
      <c r="K334" s="141"/>
      <c r="L334" s="141"/>
      <c r="M334" s="141"/>
      <c r="N334" s="141"/>
      <c r="O334" s="141"/>
      <c r="P334" s="141"/>
      <c r="Q334" s="141"/>
      <c r="R334" s="128">
        <v>350</v>
      </c>
      <c r="S334" s="127" t="s">
        <v>1270</v>
      </c>
    </row>
    <row r="335" spans="1:19" ht="15" customHeight="1">
      <c r="A335" s="125" t="s">
        <v>1352</v>
      </c>
      <c r="B335" s="125" t="s">
        <v>1352</v>
      </c>
      <c r="C335" s="125" t="s">
        <v>1277</v>
      </c>
      <c r="D335" s="125" t="s">
        <v>1353</v>
      </c>
      <c r="E335" s="125" t="s">
        <v>275</v>
      </c>
      <c r="F335" s="125" t="s">
        <v>1354</v>
      </c>
      <c r="G335" s="125"/>
      <c r="H335" s="127" t="s">
        <v>881</v>
      </c>
      <c r="I335" s="131" t="s">
        <v>1355</v>
      </c>
      <c r="J335" s="140">
        <v>296</v>
      </c>
      <c r="K335" s="140" t="s">
        <v>1291</v>
      </c>
      <c r="L335" s="140" t="s">
        <v>1356</v>
      </c>
      <c r="M335" s="140">
        <v>69</v>
      </c>
      <c r="N335" s="140">
        <v>0</v>
      </c>
      <c r="O335" s="140">
        <v>10</v>
      </c>
      <c r="P335" s="140" t="s">
        <v>1206</v>
      </c>
      <c r="Q335" s="140">
        <v>0</v>
      </c>
      <c r="R335" s="126">
        <v>600</v>
      </c>
      <c r="S335" s="125"/>
    </row>
    <row r="336" spans="1:19" s="120" customFormat="1" ht="15" customHeight="1">
      <c r="A336" s="127" t="s">
        <v>1357</v>
      </c>
      <c r="B336" s="127" t="s">
        <v>1357</v>
      </c>
      <c r="C336" s="127"/>
      <c r="D336" s="127"/>
      <c r="E336" s="127" t="s">
        <v>514</v>
      </c>
      <c r="F336" s="127" t="s">
        <v>1358</v>
      </c>
      <c r="G336" s="127"/>
      <c r="H336" s="127"/>
      <c r="I336" s="127" t="s">
        <v>800</v>
      </c>
      <c r="J336" s="141">
        <v>22</v>
      </c>
      <c r="K336" s="141" t="s">
        <v>1204</v>
      </c>
      <c r="L336" s="141" t="s">
        <v>1359</v>
      </c>
      <c r="M336" s="141" t="s">
        <v>1333</v>
      </c>
      <c r="N336" s="141" t="s">
        <v>1360</v>
      </c>
      <c r="O336" s="141" t="s">
        <v>1284</v>
      </c>
      <c r="P336" s="141" t="s">
        <v>1206</v>
      </c>
      <c r="Q336" s="141" t="s">
        <v>1286</v>
      </c>
      <c r="R336" s="128">
        <v>600</v>
      </c>
      <c r="S336" s="127"/>
    </row>
    <row r="337" spans="1:19" ht="15" customHeight="1">
      <c r="A337" s="125" t="s">
        <v>1361</v>
      </c>
      <c r="B337" s="125" t="s">
        <v>1361</v>
      </c>
      <c r="C337" s="125"/>
      <c r="D337" s="125"/>
      <c r="E337" s="125" t="s">
        <v>303</v>
      </c>
      <c r="F337" s="125"/>
      <c r="G337" s="125"/>
      <c r="H337" s="125"/>
      <c r="I337" s="125"/>
      <c r="J337" s="140"/>
      <c r="K337" s="140"/>
      <c r="L337" s="140"/>
      <c r="M337" s="140"/>
      <c r="N337" s="140"/>
      <c r="O337" s="140"/>
      <c r="P337" s="140"/>
      <c r="Q337" s="140"/>
      <c r="R337" s="126">
        <v>350</v>
      </c>
      <c r="S337" s="125" t="s">
        <v>1270</v>
      </c>
    </row>
    <row r="338" spans="1:19" s="120" customFormat="1" ht="15" customHeight="1">
      <c r="A338" s="127" t="s">
        <v>1362</v>
      </c>
      <c r="B338" s="127" t="s">
        <v>1362</v>
      </c>
      <c r="C338" s="127"/>
      <c r="D338" s="127"/>
      <c r="E338" s="127" t="s">
        <v>303</v>
      </c>
      <c r="F338" s="127"/>
      <c r="G338" s="127"/>
      <c r="H338" s="127"/>
      <c r="I338" s="127"/>
      <c r="J338" s="141"/>
      <c r="K338" s="141"/>
      <c r="L338" s="141"/>
      <c r="M338" s="141"/>
      <c r="N338" s="141"/>
      <c r="O338" s="141"/>
      <c r="P338" s="141"/>
      <c r="Q338" s="141"/>
      <c r="R338" s="128">
        <v>600</v>
      </c>
      <c r="S338" s="127" t="s">
        <v>1270</v>
      </c>
    </row>
    <row r="339" spans="1:19" ht="15" customHeight="1">
      <c r="A339" s="125" t="s">
        <v>1363</v>
      </c>
      <c r="B339" s="125" t="s">
        <v>1363</v>
      </c>
      <c r="C339" s="125" t="s">
        <v>1364</v>
      </c>
      <c r="D339" s="125"/>
      <c r="E339" s="125" t="s">
        <v>479</v>
      </c>
      <c r="F339" s="125" t="s">
        <v>1365</v>
      </c>
      <c r="G339" s="125"/>
      <c r="H339" s="125" t="s">
        <v>1366</v>
      </c>
      <c r="I339" s="131" t="s">
        <v>1367</v>
      </c>
      <c r="J339" s="140">
        <v>324</v>
      </c>
      <c r="K339" s="140" t="s">
        <v>817</v>
      </c>
      <c r="L339" s="140">
        <v>0</v>
      </c>
      <c r="M339" s="140">
        <v>78</v>
      </c>
      <c r="N339" s="140" t="s">
        <v>1368</v>
      </c>
      <c r="O339" s="140" t="s">
        <v>1369</v>
      </c>
      <c r="P339" s="140" t="s">
        <v>1261</v>
      </c>
      <c r="Q339" s="140">
        <v>1</v>
      </c>
      <c r="R339" s="126">
        <v>600</v>
      </c>
      <c r="S339" s="125"/>
    </row>
    <row r="340" spans="1:19" ht="15" customHeight="1">
      <c r="A340" s="125" t="s">
        <v>1370</v>
      </c>
      <c r="B340" s="125" t="s">
        <v>1370</v>
      </c>
      <c r="C340" s="125"/>
      <c r="D340" s="125"/>
      <c r="E340" s="125" t="s">
        <v>1273</v>
      </c>
      <c r="F340" s="125"/>
      <c r="G340" s="125"/>
      <c r="H340" s="125"/>
      <c r="I340" s="125"/>
      <c r="J340" s="140"/>
      <c r="K340" s="140"/>
      <c r="L340" s="140"/>
      <c r="M340" s="140"/>
      <c r="N340" s="140"/>
      <c r="O340" s="140"/>
      <c r="P340" s="140"/>
      <c r="Q340" s="140"/>
      <c r="R340" s="126">
        <v>600</v>
      </c>
      <c r="S340" s="125" t="s">
        <v>1270</v>
      </c>
    </row>
    <row r="341" spans="1:19" ht="15" customHeight="1">
      <c r="A341" s="108" t="s">
        <v>1371</v>
      </c>
      <c r="B341" s="108" t="s">
        <v>1371</v>
      </c>
      <c r="C341" s="108" t="s">
        <v>41</v>
      </c>
      <c r="D341" s="108">
        <v>1055</v>
      </c>
      <c r="E341" s="108" t="s">
        <v>22</v>
      </c>
      <c r="F341" t="s">
        <v>1372</v>
      </c>
      <c r="G341" s="108" t="s">
        <v>1373</v>
      </c>
      <c r="H341" s="108" t="s">
        <v>1374</v>
      </c>
      <c r="I341" s="153" t="s">
        <v>1375</v>
      </c>
      <c r="J341" s="143">
        <v>245</v>
      </c>
      <c r="K341" s="143" t="s">
        <v>1282</v>
      </c>
      <c r="L341" s="143" t="s">
        <v>1153</v>
      </c>
      <c r="M341" s="143">
        <v>39</v>
      </c>
      <c r="N341" s="143" t="s">
        <v>1376</v>
      </c>
      <c r="O341" s="143" t="s">
        <v>1377</v>
      </c>
      <c r="P341" s="143">
        <v>1</v>
      </c>
      <c r="Q341" s="143" t="s">
        <v>1378</v>
      </c>
      <c r="R341" s="126"/>
      <c r="S341" s="108"/>
    </row>
    <row r="342" spans="1:19" ht="15" customHeight="1">
      <c r="A342" s="8" t="s">
        <v>1379</v>
      </c>
      <c r="B342" s="8" t="s">
        <v>1379</v>
      </c>
      <c r="C342" s="8" t="s">
        <v>1380</v>
      </c>
      <c r="D342" s="8">
        <v>960986</v>
      </c>
      <c r="E342" s="8" t="s">
        <v>946</v>
      </c>
      <c r="F342" s="8" t="s">
        <v>1381</v>
      </c>
      <c r="G342" s="8"/>
      <c r="H342" s="8"/>
      <c r="I342" s="158" t="s">
        <v>1382</v>
      </c>
      <c r="J342" s="138">
        <v>345</v>
      </c>
      <c r="K342" s="138" t="s">
        <v>1299</v>
      </c>
      <c r="L342" s="138" t="s">
        <v>1268</v>
      </c>
      <c r="M342" s="138">
        <v>79</v>
      </c>
      <c r="N342" s="138">
        <v>1</v>
      </c>
      <c r="O342" s="138" t="s">
        <v>1307</v>
      </c>
      <c r="P342" s="138">
        <v>0</v>
      </c>
      <c r="Q342" s="138" t="s">
        <v>1369</v>
      </c>
      <c r="R342" s="126"/>
      <c r="S342" s="8"/>
    </row>
    <row r="343" spans="1:19" ht="15" customHeight="1">
      <c r="A343" s="6" t="s">
        <v>1383</v>
      </c>
      <c r="B343" s="6" t="s">
        <v>1383</v>
      </c>
      <c r="C343" s="6" t="s">
        <v>1380</v>
      </c>
      <c r="D343" s="6"/>
      <c r="E343" s="6" t="s">
        <v>946</v>
      </c>
      <c r="F343" s="6" t="s">
        <v>1384</v>
      </c>
      <c r="G343" s="6"/>
      <c r="H343" s="6"/>
      <c r="I343" s="6"/>
      <c r="J343" s="138">
        <v>144</v>
      </c>
      <c r="K343" s="138" t="s">
        <v>1204</v>
      </c>
      <c r="L343" s="138" t="s">
        <v>1385</v>
      </c>
      <c r="M343" s="138">
        <v>33</v>
      </c>
      <c r="N343" s="138" t="s">
        <v>1360</v>
      </c>
      <c r="O343" s="138" t="s">
        <v>1291</v>
      </c>
      <c r="P343" s="138">
        <v>0</v>
      </c>
      <c r="Q343" s="138">
        <v>1</v>
      </c>
      <c r="R343" s="126"/>
      <c r="S343" s="6"/>
    </row>
    <row r="344" spans="1:19" ht="15" customHeight="1">
      <c r="A344" s="8" t="s">
        <v>1386</v>
      </c>
      <c r="B344" s="8" t="s">
        <v>1386</v>
      </c>
      <c r="C344" s="8" t="s">
        <v>775</v>
      </c>
      <c r="D344" s="8"/>
      <c r="E344" s="8" t="s">
        <v>519</v>
      </c>
      <c r="F344" s="8" t="s">
        <v>1387</v>
      </c>
      <c r="G344" s="8" t="s">
        <v>133</v>
      </c>
      <c r="H344" s="8"/>
      <c r="I344" s="8"/>
      <c r="J344" s="138">
        <v>168</v>
      </c>
      <c r="K344" s="138" t="s">
        <v>1388</v>
      </c>
      <c r="L344" s="138" t="s">
        <v>1389</v>
      </c>
      <c r="M344" s="138" t="s">
        <v>1390</v>
      </c>
      <c r="N344" s="138" t="s">
        <v>1369</v>
      </c>
      <c r="O344" s="138" t="s">
        <v>1317</v>
      </c>
      <c r="P344" s="138" t="s">
        <v>1287</v>
      </c>
      <c r="Q344" s="138" t="s">
        <v>817</v>
      </c>
      <c r="R344" s="126"/>
      <c r="S344" s="8"/>
    </row>
    <row r="345" spans="1:19" ht="15" customHeight="1">
      <c r="A345" s="177" t="s">
        <v>1391</v>
      </c>
      <c r="B345" s="177" t="s">
        <v>1391</v>
      </c>
      <c r="C345" s="6" t="s">
        <v>1392</v>
      </c>
      <c r="D345" s="6"/>
      <c r="E345" s="6" t="s">
        <v>99</v>
      </c>
      <c r="F345" s="6" t="s">
        <v>1393</v>
      </c>
      <c r="G345" s="6" t="s">
        <v>1394</v>
      </c>
      <c r="H345" s="6"/>
      <c r="I345" s="91" t="s">
        <v>1395</v>
      </c>
      <c r="J345" s="138">
        <v>81</v>
      </c>
      <c r="K345" s="138" t="s">
        <v>1204</v>
      </c>
      <c r="L345" s="138" t="s">
        <v>1268</v>
      </c>
      <c r="M345" s="138" t="s">
        <v>1377</v>
      </c>
      <c r="N345" s="138" t="s">
        <v>1377</v>
      </c>
      <c r="O345" s="138">
        <v>10</v>
      </c>
      <c r="P345" s="138" t="s">
        <v>1154</v>
      </c>
      <c r="Q345" s="138">
        <v>0</v>
      </c>
      <c r="R345" s="171"/>
      <c r="S345" s="6"/>
    </row>
    <row r="346" spans="1:19" ht="15" customHeight="1">
      <c r="A346" s="185" t="s">
        <v>1396</v>
      </c>
      <c r="B346" s="185" t="s">
        <v>1396</v>
      </c>
      <c r="C346" s="94" t="s">
        <v>1170</v>
      </c>
      <c r="D346" s="94"/>
      <c r="E346" s="94" t="s">
        <v>946</v>
      </c>
      <c r="F346" s="94" t="s">
        <v>1397</v>
      </c>
      <c r="G346" s="94"/>
      <c r="H346" s="94"/>
      <c r="I346" s="95" t="s">
        <v>1398</v>
      </c>
      <c r="J346" s="139">
        <v>165</v>
      </c>
      <c r="K346" s="139">
        <v>14</v>
      </c>
      <c r="L346" s="139">
        <v>12</v>
      </c>
      <c r="M346" s="139" t="s">
        <v>1399</v>
      </c>
      <c r="N346" s="139" t="s">
        <v>1400</v>
      </c>
      <c r="O346" s="139">
        <v>1</v>
      </c>
      <c r="P346" s="139">
        <v>0</v>
      </c>
      <c r="Q346" s="139">
        <v>0</v>
      </c>
      <c r="R346" s="186"/>
      <c r="S346" s="94"/>
    </row>
    <row r="347" spans="1:19" ht="15" customHeight="1">
      <c r="A347" s="184" t="s">
        <v>1401</v>
      </c>
      <c r="B347" s="184" t="s">
        <v>1401</v>
      </c>
      <c r="C347" s="184"/>
      <c r="D347" s="184"/>
      <c r="E347" s="184"/>
      <c r="F347" s="184"/>
      <c r="G347" s="184"/>
      <c r="H347" s="184"/>
      <c r="I347" s="184"/>
      <c r="J347" s="189"/>
      <c r="K347" s="189"/>
      <c r="L347" s="189"/>
      <c r="M347" s="189"/>
      <c r="N347" s="189"/>
      <c r="O347" s="189"/>
      <c r="P347" s="189"/>
      <c r="Q347" s="189"/>
      <c r="R347" s="188">
        <v>600</v>
      </c>
      <c r="S347" s="184" t="s">
        <v>1402</v>
      </c>
    </row>
    <row r="348" spans="1:19" ht="15" customHeight="1">
      <c r="A348" s="184" t="s">
        <v>1403</v>
      </c>
      <c r="B348" s="184" t="s">
        <v>1403</v>
      </c>
      <c r="C348" s="184"/>
      <c r="D348" s="184"/>
      <c r="E348" s="184"/>
      <c r="F348" s="184"/>
      <c r="G348" s="184"/>
      <c r="H348" s="184"/>
      <c r="I348" s="184"/>
      <c r="J348" s="189"/>
      <c r="K348" s="189"/>
      <c r="L348" s="189"/>
      <c r="M348" s="189"/>
      <c r="N348" s="189"/>
      <c r="O348" s="189"/>
      <c r="P348" s="189"/>
      <c r="Q348" s="189"/>
      <c r="R348" s="188">
        <v>400</v>
      </c>
      <c r="S348" s="184" t="s">
        <v>1404</v>
      </c>
    </row>
    <row r="349" spans="1:19" ht="15" customHeight="1">
      <c r="A349" s="184" t="s">
        <v>1405</v>
      </c>
      <c r="B349" s="184" t="s">
        <v>1405</v>
      </c>
      <c r="C349" s="184"/>
      <c r="D349" s="184"/>
      <c r="E349" s="184"/>
      <c r="F349" s="184"/>
      <c r="G349" s="184"/>
      <c r="H349" s="184"/>
      <c r="I349" s="184"/>
      <c r="J349" s="189"/>
      <c r="K349" s="189"/>
      <c r="L349" s="189"/>
      <c r="M349" s="189"/>
      <c r="N349" s="189"/>
      <c r="O349" s="189"/>
      <c r="P349" s="189"/>
      <c r="Q349" s="189"/>
      <c r="R349" s="188">
        <v>1900</v>
      </c>
      <c r="S349" s="184" t="s">
        <v>1406</v>
      </c>
    </row>
    <row r="350" spans="1:19" ht="15" customHeight="1">
      <c r="A350" s="184" t="s">
        <v>1407</v>
      </c>
      <c r="B350" s="184" t="s">
        <v>1407</v>
      </c>
      <c r="C350" s="184"/>
      <c r="D350" s="184"/>
      <c r="E350" s="184"/>
      <c r="F350" s="184"/>
      <c r="G350" s="184"/>
      <c r="H350" s="184"/>
      <c r="I350" s="184"/>
      <c r="J350" s="189"/>
      <c r="K350" s="189"/>
      <c r="L350" s="189"/>
      <c r="M350" s="189"/>
      <c r="N350" s="189"/>
      <c r="O350" s="189"/>
      <c r="P350" s="189"/>
      <c r="Q350" s="189"/>
      <c r="R350" s="188">
        <v>1800</v>
      </c>
      <c r="S350" s="184" t="s">
        <v>1408</v>
      </c>
    </row>
    <row r="351" spans="1:19" ht="15" customHeight="1">
      <c r="A351" s="184" t="s">
        <v>1409</v>
      </c>
      <c r="B351" s="184" t="s">
        <v>1409</v>
      </c>
      <c r="C351" s="184"/>
      <c r="D351" s="184"/>
      <c r="E351" s="184"/>
      <c r="F351" s="184"/>
      <c r="G351" s="184"/>
      <c r="H351" s="184"/>
      <c r="I351" s="184"/>
      <c r="J351" s="189"/>
      <c r="K351" s="189"/>
      <c r="L351" s="189"/>
      <c r="M351" s="189"/>
      <c r="N351" s="189"/>
      <c r="O351" s="189"/>
      <c r="P351" s="189"/>
      <c r="Q351" s="189"/>
      <c r="R351" s="188">
        <v>2300</v>
      </c>
      <c r="S351" s="184" t="s">
        <v>1410</v>
      </c>
    </row>
    <row r="352" spans="1:19" ht="15" customHeight="1">
      <c r="A352" s="184" t="s">
        <v>1411</v>
      </c>
      <c r="B352" s="184" t="s">
        <v>1411</v>
      </c>
      <c r="C352" s="184"/>
      <c r="D352" s="184"/>
      <c r="E352" s="184"/>
      <c r="F352" s="184"/>
      <c r="G352" s="184"/>
      <c r="H352" s="184"/>
      <c r="I352" s="184"/>
      <c r="J352" s="189"/>
      <c r="K352" s="189"/>
      <c r="L352" s="189"/>
      <c r="M352" s="189"/>
      <c r="N352" s="189"/>
      <c r="O352" s="189"/>
      <c r="P352" s="189"/>
      <c r="Q352" s="189"/>
      <c r="R352" s="188">
        <v>1800</v>
      </c>
      <c r="S352" s="184" t="s">
        <v>1412</v>
      </c>
    </row>
    <row r="353" spans="1:19" ht="15" customHeight="1">
      <c r="A353" s="184" t="s">
        <v>1413</v>
      </c>
      <c r="B353" s="184" t="s">
        <v>1413</v>
      </c>
      <c r="C353" s="184"/>
      <c r="D353" s="184"/>
      <c r="E353" s="184"/>
      <c r="F353" s="184"/>
      <c r="G353" s="184"/>
      <c r="H353" s="184"/>
      <c r="I353" s="184"/>
      <c r="J353" s="189"/>
      <c r="K353" s="189"/>
      <c r="L353" s="189"/>
      <c r="M353" s="189"/>
      <c r="N353" s="189"/>
      <c r="O353" s="189"/>
      <c r="P353" s="189"/>
      <c r="Q353" s="189"/>
      <c r="R353" s="188">
        <v>200</v>
      </c>
      <c r="S353" s="184" t="s">
        <v>1414</v>
      </c>
    </row>
    <row r="354" spans="1:19" ht="15" customHeight="1">
      <c r="A354" s="184" t="s">
        <v>1415</v>
      </c>
      <c r="B354" s="184" t="s">
        <v>1415</v>
      </c>
      <c r="C354" s="184"/>
      <c r="D354" s="184"/>
      <c r="E354" s="184"/>
      <c r="F354" s="184"/>
      <c r="G354" s="184"/>
      <c r="H354" s="184"/>
      <c r="I354" s="184"/>
      <c r="J354" s="189"/>
      <c r="K354" s="189"/>
      <c r="L354" s="189"/>
      <c r="M354" s="189"/>
      <c r="N354" s="189"/>
      <c r="O354" s="189"/>
      <c r="P354" s="189"/>
      <c r="Q354" s="189"/>
      <c r="R354" s="188">
        <v>1900</v>
      </c>
      <c r="S354" s="184" t="s">
        <v>1416</v>
      </c>
    </row>
    <row r="355" spans="1:19" ht="15" customHeight="1">
      <c r="A355" s="184" t="s">
        <v>1417</v>
      </c>
      <c r="B355" s="184" t="s">
        <v>1417</v>
      </c>
      <c r="C355" s="184"/>
      <c r="D355" s="184"/>
      <c r="E355" s="184"/>
      <c r="F355" s="184"/>
      <c r="G355" s="184"/>
      <c r="H355" s="184"/>
      <c r="I355" s="184"/>
      <c r="J355" s="189"/>
      <c r="K355" s="189"/>
      <c r="L355" s="189"/>
      <c r="M355" s="189"/>
      <c r="N355" s="189"/>
      <c r="O355" s="189"/>
      <c r="P355" s="189"/>
      <c r="Q355" s="189"/>
      <c r="R355" s="188">
        <v>1800</v>
      </c>
      <c r="S355" s="184" t="s">
        <v>1418</v>
      </c>
    </row>
    <row r="356" spans="1:19" ht="15" customHeight="1">
      <c r="A356" s="184" t="s">
        <v>1419</v>
      </c>
      <c r="B356" s="184" t="s">
        <v>1419</v>
      </c>
      <c r="C356" s="184"/>
      <c r="D356" s="184"/>
      <c r="E356" s="184"/>
      <c r="F356" s="184"/>
      <c r="G356" s="184"/>
      <c r="H356" s="184"/>
      <c r="I356" s="184"/>
      <c r="J356" s="189"/>
      <c r="K356" s="189"/>
      <c r="L356" s="189"/>
      <c r="M356" s="189"/>
      <c r="N356" s="189"/>
      <c r="O356" s="189"/>
      <c r="P356" s="189"/>
      <c r="Q356" s="189"/>
      <c r="R356" s="188">
        <v>1800</v>
      </c>
      <c r="S356" s="184" t="s">
        <v>1420</v>
      </c>
    </row>
    <row r="357" spans="1:19" ht="15" customHeight="1">
      <c r="A357" s="184" t="s">
        <v>1421</v>
      </c>
      <c r="B357" s="184" t="s">
        <v>1421</v>
      </c>
      <c r="C357" s="184"/>
      <c r="D357" s="184"/>
      <c r="E357" s="184"/>
      <c r="F357" s="184"/>
      <c r="G357" s="184"/>
      <c r="H357" s="184"/>
      <c r="I357" s="184"/>
      <c r="J357" s="189"/>
      <c r="K357" s="189"/>
      <c r="L357" s="189"/>
      <c r="M357" s="189"/>
      <c r="N357" s="189"/>
      <c r="O357" s="189"/>
      <c r="P357" s="189"/>
      <c r="Q357" s="189"/>
      <c r="R357" s="188">
        <v>600</v>
      </c>
      <c r="S357" s="184" t="s">
        <v>1422</v>
      </c>
    </row>
    <row r="358" spans="1:19" ht="15" customHeight="1">
      <c r="A358" s="184" t="s">
        <v>1423</v>
      </c>
      <c r="B358" s="184" t="s">
        <v>1423</v>
      </c>
      <c r="C358" s="184"/>
      <c r="D358" s="184"/>
      <c r="E358" s="184"/>
      <c r="F358" s="184"/>
      <c r="G358" s="184"/>
      <c r="H358" s="184"/>
      <c r="I358" s="184"/>
      <c r="J358" s="189"/>
      <c r="K358" s="189"/>
      <c r="L358" s="189"/>
      <c r="M358" s="189"/>
      <c r="N358" s="189"/>
      <c r="O358" s="189"/>
      <c r="P358" s="189"/>
      <c r="Q358" s="189"/>
      <c r="R358" s="188">
        <v>1200</v>
      </c>
      <c r="S358" s="184" t="s">
        <v>1424</v>
      </c>
    </row>
    <row r="359" spans="1:19" ht="15" customHeight="1">
      <c r="A359" s="184" t="s">
        <v>485</v>
      </c>
      <c r="B359" s="184" t="s">
        <v>485</v>
      </c>
      <c r="C359" s="184"/>
      <c r="D359" s="184"/>
      <c r="E359" s="184"/>
      <c r="F359" s="184"/>
      <c r="G359" s="184"/>
      <c r="H359" s="184"/>
      <c r="I359" s="184"/>
      <c r="J359" s="189"/>
      <c r="K359" s="189"/>
      <c r="L359" s="189"/>
      <c r="M359" s="189"/>
      <c r="N359" s="189"/>
      <c r="O359" s="189"/>
      <c r="P359" s="189"/>
      <c r="Q359" s="189"/>
      <c r="R359" s="188">
        <v>400</v>
      </c>
      <c r="S359" s="184" t="s">
        <v>1425</v>
      </c>
    </row>
    <row r="360" spans="1:19" ht="15" customHeight="1">
      <c r="A360" s="184" t="s">
        <v>1426</v>
      </c>
      <c r="B360" s="184" t="s">
        <v>1426</v>
      </c>
      <c r="C360" s="184"/>
      <c r="D360" s="184"/>
      <c r="E360" s="184"/>
      <c r="F360" s="184"/>
      <c r="G360" s="184"/>
      <c r="H360" s="184"/>
      <c r="I360" s="184"/>
      <c r="J360" s="189"/>
      <c r="K360" s="189"/>
      <c r="L360" s="189"/>
      <c r="M360" s="189"/>
      <c r="N360" s="189"/>
      <c r="O360" s="189"/>
      <c r="P360" s="189"/>
      <c r="Q360" s="189"/>
      <c r="R360" s="188">
        <v>600</v>
      </c>
      <c r="S360" s="184" t="s">
        <v>1427</v>
      </c>
    </row>
    <row r="361" spans="1:19" ht="15" customHeight="1">
      <c r="A361" s="184" t="s">
        <v>1428</v>
      </c>
      <c r="B361" s="184" t="s">
        <v>1428</v>
      </c>
      <c r="C361" s="184"/>
      <c r="D361" s="184"/>
      <c r="E361" s="184"/>
      <c r="F361" s="184"/>
      <c r="G361" s="184"/>
      <c r="H361" s="184"/>
      <c r="I361" s="184"/>
      <c r="J361" s="189"/>
      <c r="K361" s="189"/>
      <c r="L361" s="189"/>
      <c r="M361" s="189"/>
      <c r="N361" s="189"/>
      <c r="O361" s="189"/>
      <c r="P361" s="189"/>
      <c r="Q361" s="189"/>
      <c r="R361" s="188">
        <v>400</v>
      </c>
      <c r="S361" s="184" t="s">
        <v>1429</v>
      </c>
    </row>
    <row r="362" spans="1:19" ht="15" customHeight="1">
      <c r="A362" s="184" t="s">
        <v>1430</v>
      </c>
      <c r="B362" s="184" t="s">
        <v>1430</v>
      </c>
      <c r="C362" s="184"/>
      <c r="D362" s="184"/>
      <c r="E362" s="184"/>
      <c r="F362" s="184"/>
      <c r="G362" s="184"/>
      <c r="H362" s="184"/>
      <c r="I362" s="184"/>
      <c r="J362" s="189"/>
      <c r="K362" s="189"/>
      <c r="L362" s="189"/>
      <c r="M362" s="189"/>
      <c r="N362" s="189"/>
      <c r="O362" s="189"/>
      <c r="P362" s="189"/>
      <c r="Q362" s="189"/>
      <c r="R362" s="188">
        <v>1800</v>
      </c>
      <c r="S362" s="184" t="s">
        <v>1431</v>
      </c>
    </row>
    <row r="363" spans="1:19" ht="15" customHeight="1">
      <c r="A363" s="184" t="s">
        <v>1432</v>
      </c>
      <c r="B363" s="184" t="s">
        <v>1432</v>
      </c>
      <c r="C363" s="184"/>
      <c r="D363" s="184"/>
      <c r="E363" s="184"/>
      <c r="F363" s="184"/>
      <c r="G363" s="184"/>
      <c r="H363" s="184"/>
      <c r="I363" s="184"/>
      <c r="J363" s="189"/>
      <c r="K363" s="189"/>
      <c r="L363" s="189"/>
      <c r="M363" s="189"/>
      <c r="N363" s="189"/>
      <c r="O363" s="189"/>
      <c r="P363" s="189"/>
      <c r="Q363" s="189"/>
      <c r="R363" s="188">
        <v>600</v>
      </c>
      <c r="S363" s="184" t="s">
        <v>1433</v>
      </c>
    </row>
    <row r="364" spans="1:19" ht="15" customHeight="1">
      <c r="A364" s="184" t="s">
        <v>1434</v>
      </c>
      <c r="B364" s="184" t="s">
        <v>1434</v>
      </c>
      <c r="C364" s="184"/>
      <c r="D364" s="184"/>
      <c r="E364" s="184"/>
      <c r="F364" s="184"/>
      <c r="G364" s="184"/>
      <c r="H364" s="184"/>
      <c r="I364" s="184"/>
      <c r="J364" s="189"/>
      <c r="K364" s="189"/>
      <c r="L364" s="189"/>
      <c r="M364" s="189"/>
      <c r="N364" s="189"/>
      <c r="O364" s="189"/>
      <c r="P364" s="189"/>
      <c r="Q364" s="189"/>
      <c r="R364" s="188">
        <v>600</v>
      </c>
      <c r="S364" s="184" t="s">
        <v>1435</v>
      </c>
    </row>
    <row r="365" spans="1:19" ht="15" customHeight="1">
      <c r="A365" s="184" t="s">
        <v>1436</v>
      </c>
      <c r="B365" s="184" t="s">
        <v>1436</v>
      </c>
      <c r="C365" s="184"/>
      <c r="D365" s="184"/>
      <c r="E365" s="184"/>
      <c r="F365" s="184"/>
      <c r="G365" s="184"/>
      <c r="H365" s="184"/>
      <c r="I365" s="184"/>
      <c r="J365" s="189"/>
      <c r="K365" s="189"/>
      <c r="L365" s="189"/>
      <c r="M365" s="189"/>
      <c r="N365" s="189"/>
      <c r="O365" s="189"/>
      <c r="P365" s="189"/>
      <c r="Q365" s="189"/>
      <c r="R365" s="188">
        <v>600</v>
      </c>
      <c r="S365" s="184" t="s">
        <v>1437</v>
      </c>
    </row>
    <row r="366" spans="1:19" ht="15" customHeight="1">
      <c r="A366" s="198" t="s">
        <v>1438</v>
      </c>
      <c r="B366" s="198" t="s">
        <v>1438</v>
      </c>
      <c r="C366" s="187"/>
      <c r="D366" s="187"/>
      <c r="E366" s="187"/>
      <c r="F366" s="187"/>
      <c r="G366" s="187"/>
      <c r="H366" s="187"/>
      <c r="I366" s="187"/>
      <c r="J366" s="143"/>
      <c r="K366" s="143"/>
      <c r="L366" s="143"/>
      <c r="M366" s="143"/>
      <c r="N366" s="143"/>
      <c r="O366" s="143"/>
      <c r="P366" s="143"/>
      <c r="Q366" s="143"/>
      <c r="R366" s="197">
        <v>9856</v>
      </c>
      <c r="S366" s="187" t="s">
        <v>1439</v>
      </c>
    </row>
    <row r="367" spans="1:19" ht="15" customHeight="1">
      <c r="A367" s="177" t="s">
        <v>1440</v>
      </c>
      <c r="B367" s="177" t="s">
        <v>1440</v>
      </c>
      <c r="C367" s="6"/>
      <c r="D367" s="6"/>
      <c r="E367" s="6"/>
      <c r="F367" s="6"/>
      <c r="G367" s="6"/>
      <c r="H367" s="6"/>
      <c r="I367" s="6"/>
      <c r="J367" s="138"/>
      <c r="K367" s="138"/>
      <c r="L367" s="138"/>
      <c r="M367" s="138"/>
      <c r="N367" s="138"/>
      <c r="O367" s="138"/>
      <c r="P367" s="138"/>
      <c r="Q367" s="138"/>
      <c r="R367" s="199">
        <v>3000</v>
      </c>
      <c r="S367" s="6" t="s">
        <v>1441</v>
      </c>
    </row>
    <row r="368" spans="1:19" ht="15" customHeight="1">
      <c r="A368" s="179" t="s">
        <v>1442</v>
      </c>
      <c r="B368" s="179" t="s">
        <v>1442</v>
      </c>
      <c r="C368" s="8"/>
      <c r="D368" s="8"/>
      <c r="E368" s="8"/>
      <c r="F368" s="8"/>
      <c r="G368" s="8"/>
      <c r="H368" s="8"/>
      <c r="I368" s="8"/>
      <c r="J368" s="138"/>
      <c r="K368" s="138"/>
      <c r="L368" s="138"/>
      <c r="M368" s="138"/>
      <c r="N368" s="138"/>
      <c r="O368" s="138"/>
      <c r="P368" s="138"/>
      <c r="Q368" s="138"/>
      <c r="R368" s="199">
        <v>1800</v>
      </c>
      <c r="S368" s="8" t="s">
        <v>1443</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R3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25" t="s">
        <v>1444</v>
      </c>
      <c r="B1" s="325"/>
      <c r="C1" s="325"/>
      <c r="D1" s="325"/>
      <c r="E1" s="325"/>
      <c r="F1" s="325"/>
      <c r="G1" s="325"/>
      <c r="H1" s="325"/>
      <c r="I1" s="325"/>
      <c r="J1" s="325"/>
      <c r="K1" s="325"/>
      <c r="L1" s="325"/>
      <c r="M1" s="325"/>
      <c r="N1" s="325"/>
      <c r="O1" s="325"/>
      <c r="P1" s="325"/>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H3" activePane="bottomRight" state="frozen"/>
      <selection pane="topRight" activeCell="B1" sqref="B1"/>
      <selection pane="bottomLeft" activeCell="A3" sqref="A3"/>
      <selection pane="bottomRight" activeCell="J2" sqref="A1:S104857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6328125" customWidth="1"/>
  </cols>
  <sheetData>
    <row r="1" spans="1:32" ht="18">
      <c r="A1" s="326" t="s">
        <v>1823</v>
      </c>
      <c r="B1" s="325"/>
      <c r="C1" s="325"/>
      <c r="D1" s="325"/>
      <c r="E1" s="325"/>
      <c r="F1" s="325"/>
      <c r="G1" s="325"/>
      <c r="H1" s="325"/>
      <c r="I1" s="325"/>
      <c r="J1" s="325"/>
      <c r="K1" s="325"/>
      <c r="L1" s="325"/>
      <c r="M1" s="325"/>
      <c r="N1" s="325"/>
      <c r="O1" s="325"/>
      <c r="P1" s="325"/>
      <c r="Q1" s="325"/>
      <c r="R1" s="325"/>
      <c r="S1" s="325"/>
      <c r="T1" s="327" t="s">
        <v>1453</v>
      </c>
      <c r="U1" s="327"/>
      <c r="V1" s="327"/>
      <c r="W1" s="327"/>
      <c r="X1" s="327"/>
      <c r="Y1" s="327"/>
      <c r="Z1" s="327"/>
      <c r="AA1" s="327"/>
      <c r="AB1" t="s">
        <v>1824</v>
      </c>
      <c r="AC1" t="s">
        <v>1825</v>
      </c>
      <c r="AE1" s="310" t="s">
        <v>4276</v>
      </c>
    </row>
    <row r="2" spans="1:32"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c r="AE2" s="311">
        <v>0.5</v>
      </c>
    </row>
    <row r="3" spans="1:32"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IF($F3="","",IFERROR(IFERROR(INDEX(Réttabanki!$U:$U,MATCH($F3,Réttabanki!$A:$A,0)),INDEX(Vöruskrá!$R:$R,MATCH($F3,Vöruskrá!$B:$B,0)))*($H3+IF($I3="",$H3*(1+$AE$2),$I3))/2/1000,""))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1856</v>
      </c>
    </row>
    <row r="4" spans="1:32" ht="26">
      <c r="A4" s="301"/>
      <c r="B4" s="31" t="s">
        <v>1851</v>
      </c>
      <c r="C4" s="31">
        <v>32</v>
      </c>
      <c r="D4" s="32" t="s">
        <v>1850</v>
      </c>
      <c r="E4" s="32" t="s">
        <v>1852</v>
      </c>
      <c r="F4" s="32" t="s">
        <v>1391</v>
      </c>
      <c r="G4" s="32" t="s">
        <v>1857</v>
      </c>
      <c r="H4" s="33">
        <v>200</v>
      </c>
      <c r="I4" s="33"/>
      <c r="J4" s="148">
        <f>IF($F4="","",IFERROR(IFERROR(INDEX(Réttabanki!$U:$U,MATCH($F4,Réttabanki!$A:$A,0)),INDEX(Vöruskrá!$R:$R,MATCH($F4,Vöruskrá!$B:$B,0)))*($H4+IF($I4="",$H4*(1+$AE$2),$I4))/2/1000,""))</f>
        <v>0</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c r="AE4" s="310" t="s">
        <v>4277</v>
      </c>
      <c r="AF4" s="312">
        <v>1350</v>
      </c>
    </row>
    <row r="5" spans="1:32">
      <c r="A5" s="301"/>
      <c r="B5" s="31" t="s">
        <v>1851</v>
      </c>
      <c r="C5" s="31">
        <v>32</v>
      </c>
      <c r="D5" s="32" t="s">
        <v>1850</v>
      </c>
      <c r="E5" s="32" t="s">
        <v>1852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c r="AE5" s="310" t="s">
        <v>4278</v>
      </c>
      <c r="AF5" s="312">
        <v>1150</v>
      </c>
    </row>
    <row r="6" spans="1:32">
      <c r="A6" s="301"/>
      <c r="B6" s="31" t="s">
        <v>1851</v>
      </c>
      <c r="C6" s="31">
        <v>32</v>
      </c>
      <c r="D6" s="32" t="s">
        <v>1850</v>
      </c>
      <c r="E6" s="32" t="s">
        <v>1852</v>
      </c>
      <c r="F6" s="32" t="s">
        <v>508</v>
      </c>
      <c r="G6" s="32" t="s">
        <v>510</v>
      </c>
      <c r="H6" s="33">
        <v>20</v>
      </c>
      <c r="I6" s="33"/>
      <c r="J6" s="148">
        <f>IF($F6="","",IFERROR(IFERROR(INDEX(Réttabanki!$U:$U,MATCH($F6,Réttabanki!$A:$A,0)),INDEX(Vöruskrá!$R:$R,MATCH($F6,Vöruskrá!$B:$B,0)))*($H6+IF($I6="",$H6*(1+$AE$2),$I6))/2/1000,""))</f>
        <v>17.5</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c r="AE6" s="310" t="s">
        <v>4279</v>
      </c>
      <c r="AF6" s="311">
        <v>0.3</v>
      </c>
    </row>
    <row r="7" spans="1:32" ht="39">
      <c r="A7" s="301"/>
      <c r="B7" s="31" t="s">
        <v>1851</v>
      </c>
      <c r="C7" s="31">
        <v>32</v>
      </c>
      <c r="D7" s="32" t="s">
        <v>1850</v>
      </c>
      <c r="E7" s="32" t="s">
        <v>946</v>
      </c>
      <c r="F7" s="32" t="s">
        <v>1255</v>
      </c>
      <c r="G7" s="32" t="s">
        <v>1863</v>
      </c>
      <c r="H7" s="33">
        <v>200</v>
      </c>
      <c r="I7" s="33"/>
      <c r="J7" s="148">
        <f>IF($F7="","",IFERROR(IFERROR(INDEX(Réttabanki!$U:$U,MATCH($F7,Réttabanki!$A:$A,0)),INDEX(Vöruskrá!$R:$R,MATCH($F7,Vöruskrá!$B:$B,0)))*($H7+IF($I7="",$H7*(1+$AE$2),$I7))/2/1000,""))</f>
        <v>200</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32" ht="26">
      <c r="A8" s="301"/>
      <c r="B8" s="31" t="s">
        <v>1851</v>
      </c>
      <c r="C8" s="31">
        <v>32</v>
      </c>
      <c r="D8" s="32" t="s">
        <v>1850</v>
      </c>
      <c r="E8" s="32" t="s">
        <v>946</v>
      </c>
      <c r="F8" s="32" t="s">
        <v>1396</v>
      </c>
      <c r="G8" s="32" t="s">
        <v>1865</v>
      </c>
      <c r="H8" s="33">
        <v>200</v>
      </c>
      <c r="I8" s="33"/>
      <c r="J8" s="148">
        <f>IF($F8="","",IFERROR(IFERROR(INDEX(Réttabanki!$U:$U,MATCH($F8,Réttabanki!$A:$A,0)),INDEX(Vöruskrá!$R:$R,MATCH($F8,Vöruskrá!$B:$B,0)))*($H8+IF($I8="",$H8*(1+$AE$2),$I8))/2/1000,""))</f>
        <v>0</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32" ht="91">
      <c r="A9" s="301"/>
      <c r="B9" s="31" t="s">
        <v>1851</v>
      </c>
      <c r="C9" s="31">
        <v>32</v>
      </c>
      <c r="D9" s="32" t="s">
        <v>1850</v>
      </c>
      <c r="E9" s="32" t="s">
        <v>1867</v>
      </c>
      <c r="F9" s="32"/>
      <c r="G9" s="32" t="s">
        <v>1868</v>
      </c>
      <c r="H9" s="33"/>
      <c r="I9" s="33"/>
      <c r="J9" s="148" t="str">
        <f>IF($F9="","",IFERROR(IFERROR(INDEX(Réttabanki!$U:$U,MATCH($F9,Réttabanki!$A:$A,0)),INDEX(Vöruskrá!$R:$R,MATCH($F9,Vöruskrá!$B:$B,0)))*($H9+IF($I9="",$H9*(1+$AE$2),$I9))/2/1000,""))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1870</v>
      </c>
    </row>
    <row r="10" spans="1:32" ht="39">
      <c r="A10" s="301"/>
      <c r="B10" s="31" t="s">
        <v>1851</v>
      </c>
      <c r="C10" s="31">
        <v>32</v>
      </c>
      <c r="D10" s="32" t="s">
        <v>1850</v>
      </c>
      <c r="E10" s="32" t="s">
        <v>1867</v>
      </c>
      <c r="F10" s="32" t="s">
        <v>1255</v>
      </c>
      <c r="G10" s="32" t="s">
        <v>1871</v>
      </c>
      <c r="H10" s="33">
        <v>200</v>
      </c>
      <c r="I10" s="33"/>
      <c r="J10" s="148">
        <f>IF($F10="","",IFERROR(IFERROR(INDEX(Réttabanki!$U:$U,MATCH($F10,Réttabanki!$A:$A,0)),INDEX(Vöruskrá!$R:$R,MATCH($F10,Vöruskrá!$B:$B,0)))*($H10+IF($I10="",$H10*(1+$AE$2),$I10))/2/1000,""))</f>
        <v>200</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32">
      <c r="A11" s="301"/>
      <c r="B11" s="31" t="s">
        <v>1851</v>
      </c>
      <c r="C11" s="31">
        <v>32</v>
      </c>
      <c r="D11" s="32" t="s">
        <v>1850</v>
      </c>
      <c r="E11" s="32" t="s">
        <v>1867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32">
      <c r="A12" s="301"/>
      <c r="B12" s="31" t="s">
        <v>1851</v>
      </c>
      <c r="C12" s="31">
        <v>32</v>
      </c>
      <c r="D12" s="32" t="s">
        <v>1850</v>
      </c>
      <c r="E12" s="32" t="s">
        <v>1867</v>
      </c>
      <c r="F12" s="32" t="s">
        <v>508</v>
      </c>
      <c r="G12" s="32" t="s">
        <v>510</v>
      </c>
      <c r="H12" s="33">
        <v>20</v>
      </c>
      <c r="I12" s="33"/>
      <c r="J12" s="148">
        <f>IF($F12="","",IFERROR(IFERROR(INDEX(Réttabanki!$U:$U,MATCH($F12,Réttabanki!$A:$A,0)),INDEX(Vöruskrá!$R:$R,MATCH($F12,Vöruskrá!$B:$B,0)))*($H12+IF($I12="",$H12*(1+$AE$2),$I12))/2/1000,""))</f>
        <v>17.5</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32" ht="39">
      <c r="A13" s="301"/>
      <c r="B13" s="31" t="s">
        <v>1851</v>
      </c>
      <c r="C13" s="31">
        <v>32</v>
      </c>
      <c r="D13" s="32" t="s">
        <v>1850</v>
      </c>
      <c r="E13" s="32" t="s">
        <v>946</v>
      </c>
      <c r="F13" s="32" t="s">
        <v>1255</v>
      </c>
      <c r="G13" s="32" t="s">
        <v>1863</v>
      </c>
      <c r="H13" s="33">
        <v>200</v>
      </c>
      <c r="I13" s="33"/>
      <c r="J13" s="148">
        <f>IF($F13="","",IFERROR(IFERROR(INDEX(Réttabanki!$U:$U,MATCH($F13,Réttabanki!$A:$A,0)),INDEX(Vöruskrá!$R:$R,MATCH($F13,Vöruskrá!$B:$B,0)))*($H13+IF($I13="",$H13*(1+$AE$2),$I13))/2/1000,""))</f>
        <v>200</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32" ht="26">
      <c r="A14" s="301"/>
      <c r="B14" s="31" t="s">
        <v>1851</v>
      </c>
      <c r="C14" s="31">
        <v>32</v>
      </c>
      <c r="D14" s="32" t="s">
        <v>1850</v>
      </c>
      <c r="E14" s="32" t="s">
        <v>946</v>
      </c>
      <c r="F14" s="32" t="s">
        <v>1396</v>
      </c>
      <c r="G14" s="32" t="s">
        <v>1865</v>
      </c>
      <c r="H14" s="33">
        <v>200</v>
      </c>
      <c r="I14" s="33"/>
      <c r="J14" s="148">
        <f>IF($F14="","",IFERROR(IFERROR(INDEX(Réttabanki!$U:$U,MATCH($F14,Réttabanki!$A:$A,0)),INDEX(Vöruskrá!$R:$R,MATCH($F14,Vöruskrá!$B:$B,0)))*($H14+IF($I14="",$H14*(1+$AE$2),$I14))/2/1000,""))</f>
        <v>0</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32"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IF($F15="","",IFERROR(IFERROR(INDEX(Réttabanki!$U:$U,MATCH($F15,Réttabanki!$A:$A,0)),INDEX(Vöruskrá!$R:$R,MATCH($F15,Vöruskrá!$B:$B,0)))*($H15+IF($I15="",$H15*(1+$AE$2),$I15))/2/1000,""))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1881</v>
      </c>
    </row>
    <row r="16" spans="1:32" ht="26">
      <c r="A16" s="301"/>
      <c r="B16" s="31" t="s">
        <v>1851</v>
      </c>
      <c r="C16" s="31">
        <v>32</v>
      </c>
      <c r="D16" s="32" t="s">
        <v>1850</v>
      </c>
      <c r="E16" s="32" t="s">
        <v>1877</v>
      </c>
      <c r="F16" s="32" t="s">
        <v>52</v>
      </c>
      <c r="G16" s="32" t="s">
        <v>1436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f>IF($F17="","",IFERROR(IFERROR(INDEX(Réttabanki!$U:$U,MATCH($F17,Réttabanki!$A:$A,0)),INDEX(Vöruskrá!$R:$R,MATCH($F17,Vöruskrá!$B:$B,0)))*($H17+IF($I17="",$H17*(1+$AE$2),$I17))/2/1000,""))</f>
        <v>70</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f>IF($F20="","",IFERROR(IFERROR(INDEX(Réttabanki!$U:$U,MATCH($F20,Réttabanki!$A:$A,0)),INDEX(Vöruskrá!$R:$R,MATCH($F20,Vöruskrá!$B:$B,0)))*($H20+IF($I20="",$H20*(1+$AE$2),$I20))/2/1000,""))</f>
        <v>30</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f>IF($F21="","",IFERROR(IFERROR(INDEX(Réttabanki!$U:$U,MATCH($F21,Réttabanki!$A:$A,0)),INDEX(Vöruskrá!$R:$R,MATCH($F21,Vöruskrá!$B:$B,0)))*($H21+IF($I21="",$H21*(1+$AE$2),$I21))/2/1000,""))</f>
        <v>87.5</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IF($F23="","",IFERROR(IFERROR(INDEX(Réttabanki!$U:$U,MATCH($F23,Réttabanki!$A:$A,0)),INDEX(Vöruskrá!$R:$R,MATCH($F23,Vöruskrá!$B:$B,0)))*($H23+IF($I23="",$H23*(1+$AE$2),$I23))/2/1000,""))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f>IF($F24="","",IFERROR(IFERROR(INDEX(Réttabanki!$U:$U,MATCH($F24,Réttabanki!$A:$A,0)),INDEX(Vöruskrá!$R:$R,MATCH($F24,Vöruskrá!$B:$B,0)))*($H24+IF($I24="",$H24*(1+$AE$2),$I24))/2/1000,""))</f>
        <v>65.2</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267.7</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267.7</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IF($F28="","",IFERROR(IFERROR(INDEX(Réttabanki!$U:$U,MATCH($F28,Réttabanki!$A:$A,0)),INDEX(Vöruskrá!$R:$R,MATCH($F28,Vöruskrá!$B:$B,0)))*($H28+IF($I28="",$H28*(1+$AE$2),$I28))/2/1000,""))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f>IF($F29="","",IFERROR(IFERROR(INDEX(Réttabanki!$U:$U,MATCH($F29,Réttabanki!$A:$A,0)),INDEX(Vöruskrá!$R:$R,MATCH($F29,Vöruskrá!$B:$B,0)))*($H29+IF($I29="",$H29*(1+$AE$2),$I29))/2/1000,""))</f>
        <v>360</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f>IF($F30="","",IFERROR(IFERROR(INDEX(Réttabanki!$U:$U,MATCH($F30,Réttabanki!$A:$A,0)),INDEX(Vöruskrá!$R:$R,MATCH($F30,Vöruskrá!$B:$B,0)))*($H30+IF($I30="",$H30*(1+$AE$2),$I30))/2/1000,""))</f>
        <v>50</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f>IF($F33="","",IFERROR(IFERROR(INDEX(Réttabanki!$U:$U,MATCH($F33,Réttabanki!$A:$A,0)),INDEX(Vöruskrá!$R:$R,MATCH($F33,Vöruskrá!$B:$B,0)))*($H33+IF($I33="",$H33*(1+$AE$2),$I33))/2/1000,""))</f>
        <v>360</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f>IF($F35="","",IFERROR(IFERROR(INDEX(Réttabanki!$U:$U,MATCH($F35,Réttabanki!$A:$A,0)),INDEX(Vöruskrá!$R:$R,MATCH($F35,Vöruskrá!$B:$B,0)))*($H35+IF($I35="",$H35*(1+$AE$2),$I35))/2/1000,""))</f>
        <v>40</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f>IF($F37="","",IFERROR(IFERROR(INDEX(Réttabanki!$U:$U,MATCH($F37,Réttabanki!$A:$A,0)),INDEX(Vöruskrá!$R:$R,MATCH($F37,Vöruskrá!$B:$B,0)))*($H37+IF($I37="",$H37*(1+$AE$2),$I37))/2/1000,""))</f>
        <v>360</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f>IF($F38="","",IFERROR(IFERROR(INDEX(Réttabanki!$U:$U,MATCH($F38,Réttabanki!$A:$A,0)),INDEX(Vöruskrá!$R:$R,MATCH($F38,Vöruskrá!$B:$B,0)))*($H38+IF($I38="",$H38*(1+$AE$2),$I38))/2/1000,""))</f>
        <v>40</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f>IF($F40="","",IFERROR(IFERROR(INDEX(Réttabanki!$U:$U,MATCH($F40,Réttabanki!$A:$A,0)),INDEX(Vöruskrá!$R:$R,MATCH($F40,Vöruskrá!$B:$B,0)))*($H40+IF($I40="",$H40*(1+$AE$2),$I40))/2/1000,""))</f>
        <v>640</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IF($F42="","",IFERROR(IFERROR(INDEX(Réttabanki!$U:$U,MATCH($F42,Réttabanki!$A:$A,0)),INDEX(Vöruskrá!$R:$R,MATCH($F42,Vöruskrá!$B:$B,0)))*($H42+IF($I42="",$H42*(1+$AE$2),$I42))/2/1000,""))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f>IF($F43="","",IFERROR(IFERROR(INDEX(Réttabanki!$U:$U,MATCH($F43,Réttabanki!$A:$A,0)),INDEX(Vöruskrá!$R:$R,MATCH($F43,Vöruskrá!$B:$B,0)))*($H43+IF($I43="",$H43*(1+$AE$2),$I43))/2/1000,""))</f>
        <v>120</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f>IF($F45="","",IFERROR(IFERROR(INDEX(Réttabanki!$U:$U,MATCH($F45,Réttabanki!$A:$A,0)),INDEX(Vöruskrá!$R:$R,MATCH($F45,Vöruskrá!$B:$B,0)))*($H45+IF($I45="",$H45*(1+$AE$2),$I45))/2/1000,""))</f>
        <v>40</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IF($F46="","",IFERROR(IFERROR(INDEX(Réttabanki!$U:$U,MATCH($F46,Réttabanki!$A:$A,0)),INDEX(Vöruskrá!$R:$R,MATCH($F46,Vöruskrá!$B:$B,0)))*($H46+IF($I46="",$H46*(1+$AE$2),$I46))/2/1000,""))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f>IF($F47="","",IFERROR(IFERROR(INDEX(Réttabanki!$U:$U,MATCH($F47,Réttabanki!$A:$A,0)),INDEX(Vöruskrá!$R:$R,MATCH($F47,Vöruskrá!$B:$B,0)))*($H47+IF($I47="",$H47*(1+$AE$2),$I47))/2/1000,""))</f>
        <v>20</v>
      </c>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IF($F48="","",IFERROR(IFERROR(INDEX(Réttabanki!$U:$U,MATCH($F48,Réttabanki!$A:$A,0)),INDEX(Vöruskrá!$R:$R,MATCH($F48,Vöruskrá!$B:$B,0)))*($H48+IF($I48="",$H48*(1+$AE$2),$I48))/2/1000,""))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520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520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IF($F53="","",IFERROR(IFERROR(INDEX(Réttabanki!$U:$U,MATCH($F53,Réttabanki!$A:$A,0)),INDEX(Vöruskrá!$R:$R,MATCH($F53,Vöruskrá!$B:$B,0)))*($H53+IF($I53="",$H53*(1+$AE$2),$I53))/2/1000,""))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f>IF($F54="","",IFERROR(IFERROR(INDEX(Réttabanki!$U:$U,MATCH($F54,Réttabanki!$A:$A,0)),INDEX(Vöruskrá!$R:$R,MATCH($F54,Vöruskrá!$B:$B,0)))*($H54+IF($I54="",$H54*(1+$AE$2),$I54))/2/1000,""))</f>
        <v>380</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f>IF($F55="","",IFERROR(IFERROR(INDEX(Réttabanki!$U:$U,MATCH($F55,Réttabanki!$A:$A,0)),INDEX(Vöruskrá!$R:$R,MATCH($F55,Vöruskrá!$B:$B,0)))*($H55+IF($I55="",$H55*(1+$AE$2),$I55))/2/1000,""))</f>
        <v>20</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f>IF($F60="","",IFERROR(IFERROR(INDEX(Réttabanki!$U:$U,MATCH($F60,Réttabanki!$A:$A,0)),INDEX(Vöruskrá!$R:$R,MATCH($F60,Vöruskrá!$B:$B,0)))*($H60+IF($I60="",$H60*(1+$AE$2),$I60))/2/1000,""))</f>
        <v>20</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f>IF($F62="","",IFERROR(IFERROR(INDEX(Réttabanki!$U:$U,MATCH($F62,Réttabanki!$A:$A,0)),INDEX(Vöruskrá!$R:$R,MATCH($F62,Vöruskrá!$B:$B,0)))*($H62+IF($I62="",$H62*(1+$AE$2),$I62))/2/1000,""))</f>
        <v>0</v>
      </c>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IF($F63="","",IFERROR(IFERROR(INDEX(Réttabanki!$U:$U,MATCH($F63,Réttabanki!$A:$A,0)),INDEX(Vöruskrá!$R:$R,MATCH($F63,Vöruskrá!$B:$B,0)))*($H63+IF($I63="",$H63*(1+$AE$2),$I63))/2/1000,""))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f>IF($F64="","",IFERROR(IFERROR(INDEX(Réttabanki!$U:$U,MATCH($F64,Réttabanki!$A:$A,0)),INDEX(Vöruskrá!$R:$R,MATCH($F64,Vöruskrá!$B:$B,0)))*($H64+IF($I64="",$H64*(1+$AE$2),$I64))/2/1000,""))</f>
        <v>240</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f>IF($F65="","",IFERROR(IFERROR(INDEX(Réttabanki!$U:$U,MATCH($F65,Réttabanki!$A:$A,0)),INDEX(Vöruskrá!$R:$R,MATCH($F65,Vöruskrá!$B:$B,0)))*($H65+IF($I65="",$H65*(1+$AE$2),$I65))/2/1000,""))</f>
        <v>20</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IF($F68="","",IFERROR(IFERROR(INDEX(Réttabanki!$U:$U,MATCH($F68,Réttabanki!$A:$A,0)),INDEX(Vöruskrá!$R:$R,MATCH($F68,Vöruskrá!$B:$B,0)))*($H68+IF($I68="",$H68*(1+$AE$2),$I68))/2/1000,""))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f>IF($F70="","",IFERROR(IFERROR(INDEX(Réttabanki!$U:$U,MATCH($F70,Réttabanki!$A:$A,0)),INDEX(Vöruskrá!$R:$R,MATCH($F70,Vöruskrá!$B:$B,0)))*($H70+IF($I70="",$H70*(1+$AE$2),$I70))/2/1000,""))</f>
        <v>52.5</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576.875</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576.875</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IF($F73="","",IFERROR(IFERROR(INDEX(Réttabanki!$U:$U,MATCH($F73,Réttabanki!$A:$A,0)),INDEX(Vöruskrá!$R:$R,MATCH($F73,Vöruskrá!$B:$B,0)))*($H73+IF($I73="",$H73*(1+$AE$2),$I73))/2/1000,""))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f>IF($F74="","",IFERROR(IFERROR(INDEX(Réttabanki!$U:$U,MATCH($F74,Réttabanki!$A:$A,0)),INDEX(Vöruskrá!$R:$R,MATCH($F74,Vöruskrá!$B:$B,0)))*($H74+IF($I74="",$H74*(1+$AE$2),$I74))/2/1000,""))</f>
        <v>120</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f>IF($F75="","",IFERROR(IFERROR(INDEX(Réttabanki!$U:$U,MATCH($F75,Réttabanki!$A:$A,0)),INDEX(Vöruskrá!$R:$R,MATCH($F75,Vöruskrá!$B:$B,0)))*($H75+IF($I75="",$H75*(1+$AE$2),$I75))/2/1000,""))</f>
        <v>112.5</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f>IF($F77="","",IFERROR(IFERROR(INDEX(Réttabanki!$U:$U,MATCH($F77,Réttabanki!$A:$A,0)),INDEX(Vöruskrá!$R:$R,MATCH($F77,Vöruskrá!$B:$B,0)))*($H77+IF($I77="",$H77*(1+$AE$2),$I77))/2/1000,""))</f>
        <v>120</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f>IF($F78="","",IFERROR(IFERROR(INDEX(Réttabanki!$U:$U,MATCH($F78,Réttabanki!$A:$A,0)),INDEX(Vöruskrá!$R:$R,MATCH($F78,Vöruskrá!$B:$B,0)))*($H78+IF($I78="",$H78*(1+$AE$2),$I78))/2/1000,""))</f>
        <v>0</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IF($F79="","",IFERROR(IFERROR(INDEX(Réttabanki!$U:$U,MATCH($F79,Réttabanki!$A:$A,0)),INDEX(Vöruskrá!$R:$R,MATCH($F79,Vöruskrá!$B:$B,0)))*($H79+IF($I79="",$H79*(1+$AE$2),$I79))/2/1000,""))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f>IF($F80="","",IFERROR(IFERROR(INDEX(Réttabanki!$U:$U,MATCH($F80,Réttabanki!$A:$A,0)),INDEX(Vöruskrá!$R:$R,MATCH($F80,Vöruskrá!$B:$B,0)))*($H80+IF($I80="",$H80*(1+$AE$2),$I80))/2/1000,""))</f>
        <v>149.876328</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f>IF($F81="","",IFERROR(IFERROR(INDEX(Réttabanki!$U:$U,MATCH($F81,Réttabanki!$A:$A,0)),INDEX(Vöruskrá!$R:$R,MATCH($F81,Vöruskrá!$B:$B,0)))*($H81+IF($I81="",$H81*(1+$AE$2),$I81))/2/1000,""))</f>
        <v>112.5</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IF($F83="","",IFERROR(IFERROR(INDEX(Réttabanki!$U:$U,MATCH($F83,Réttabanki!$A:$A,0)),INDEX(Vöruskrá!$R:$R,MATCH($F83,Vöruskrá!$B:$B,0)))*($H83+IF($I83="",$H83*(1+$AE$2),$I83))/2/1000,""))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310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310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IF($F88="","",IFERROR(IFERROR(INDEX(Réttabanki!$U:$U,MATCH($F88,Réttabanki!$A:$A,0)),INDEX(Vöruskrá!$R:$R,MATCH($F88,Vöruskrá!$B:$B,0)))*($H88+IF($I88="",$H88*(1+$AE$2),$I88))/2/1000,""))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f>IF($F89="","",IFERROR(IFERROR(INDEX(Réttabanki!$U:$U,MATCH($F89,Réttabanki!$A:$A,0)),INDEX(Vöruskrá!$R:$R,MATCH($F89,Vöruskrá!$B:$B,0)))*($H89+IF($I89="",$H89*(1+$AE$2),$I89))/2/1000,""))</f>
        <v>324.08841463414632</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IF($F91="","",IFERROR(IFERROR(INDEX(Réttabanki!$U:$U,MATCH($F91,Réttabanki!$A:$A,0)),INDEX(Vöruskrá!$R:$R,MATCH($F91,Vöruskrá!$B:$B,0)))*($H91+IF($I91="",$H91*(1+$AE$2),$I91))/2/1000,""))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f>IF($F92="","",IFERROR(IFERROR(INDEX(Réttabanki!$U:$U,MATCH($F92,Réttabanki!$A:$A,0)),INDEX(Vöruskrá!$R:$R,MATCH($F92,Vöruskrá!$B:$B,0)))*($H92+IF($I92="",$H92*(1+$AE$2),$I92))/2/1000,""))</f>
        <v>350</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IF($F95="","",IFERROR(IFERROR(INDEX(Réttabanki!$U:$U,MATCH($F95,Réttabanki!$A:$A,0)),INDEX(Vöruskrá!$R:$R,MATCH($F95,Vöruskrá!$B:$B,0)))*($H95+IF($I95="",$H95*(1+$AE$2),$I95))/2/1000,""))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f>IF($F97="","",IFERROR(IFERROR(INDEX(Réttabanki!$U:$U,MATCH($F97,Réttabanki!$A:$A,0)),INDEX(Vöruskrá!$R:$R,MATCH($F97,Vöruskrá!$B:$B,0)))*($H97+IF($I97="",$H97*(1+$AE$2),$I97))/2/1000,""))</f>
        <v>70</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459.08841463414632</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459.08841463414632</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IF($F100="","",IFERROR(IFERROR(INDEX(Réttabanki!$U:$U,MATCH($F100,Réttabanki!$A:$A,0)),INDEX(Vöruskrá!$R:$R,MATCH($F100,Vöruskrá!$B:$B,0)))*($H100+IF($I100="",$H100*(1+$AE$2),$I100))/2/1000,""))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f>IF($F102="","",IFERROR(IFERROR(INDEX(Réttabanki!$U:$U,MATCH($F102,Réttabanki!$A:$A,0)),INDEX(Vöruskrá!$R:$R,MATCH($F102,Vöruskrá!$B:$B,0)))*($H102+IF($I102="",$H102*(1+$AE$2),$I102))/2/1000,""))</f>
        <v>20</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IF($F104="","",IFERROR(IFERROR(INDEX(Réttabanki!$U:$U,MATCH($F104,Réttabanki!$A:$A,0)),INDEX(Vöruskrá!$R:$R,MATCH($F104,Vöruskrá!$B:$B,0)))*($H104+IF($I104="",$H104*(1+$AE$2),$I104))/2/1000,""))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f>IF($F106="","",IFERROR(IFERROR(INDEX(Réttabanki!$U:$U,MATCH($F106,Réttabanki!$A:$A,0)),INDEX(Vöruskrá!$R:$R,MATCH($F106,Vöruskrá!$B:$B,0)))*($H106+IF($I106="",$H106*(1+$AE$2),$I106))/2/1000,""))</f>
        <v>20</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IF($F110="","",IFERROR(IFERROR(INDEX(Réttabanki!$U:$U,MATCH($F110,Réttabanki!$A:$A,0)),INDEX(Vöruskrá!$R:$R,MATCH($F110,Vöruskrá!$B:$B,0)))*($H110+IF($I110="",$H110*(1+$AE$2),$I110))/2/1000,""))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f>IF($F112="","",IFERROR(IFERROR(INDEX(Réttabanki!$U:$U,MATCH($F112,Réttabanki!$A:$A,0)),INDEX(Vöruskrá!$R:$R,MATCH($F112,Vöruskrá!$B:$B,0)))*($H112+IF($I112="",$H112*(1+$AE$2),$I112))/2/1000,""))</f>
        <v>45</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473.75</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473.75</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f>IF($F118="","",IFERROR(IFERROR(INDEX(Réttabanki!$U:$U,MATCH($F118,Réttabanki!$A:$A,0)),INDEX(Vöruskrá!$R:$R,MATCH($F118,Vöruskrá!$B:$B,0)))*($H118+IF($I118="",$H118*(1+$AE$2),$I118))/2/1000,""))</f>
        <v>34.368749999999999</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IF($F119="","",IFERROR(IFERROR(INDEX(Réttabanki!$U:$U,MATCH($F119,Réttabanki!$A:$A,0)),INDEX(Vöruskrá!$R:$R,MATCH($F119,Vöruskrá!$B:$B,0)))*($H119+IF($I119="",$H119*(1+$AE$2),$I119))/2/1000,""))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f>IF($F121="","",IFERROR(IFERROR(INDEX(Réttabanki!$U:$U,MATCH($F121,Réttabanki!$A:$A,0)),INDEX(Vöruskrá!$R:$R,MATCH($F121,Vöruskrá!$B:$B,0)))*($H121+IF($I121="",$H121*(1+$AE$2),$I121))/2/1000,""))</f>
        <v>34.368749999999999</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IF($F123="","",IFERROR(IFERROR(INDEX(Réttabanki!$U:$U,MATCH($F123,Réttabanki!$A:$A,0)),INDEX(Vöruskrá!$R:$R,MATCH($F123,Vöruskrá!$B:$B,0)))*($H123+IF($I123="",$H123*(1+$AE$2),$I123))/2/1000,""))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f>IF($F125="","",IFERROR(IFERROR(INDEX(Réttabanki!$U:$U,MATCH($F125,Réttabanki!$A:$A,0)),INDEX(Vöruskrá!$R:$R,MATCH($F125,Vöruskrá!$B:$B,0)))*($H125+IF($I125="",$H125*(1+$AE$2),$I125))/2/1000,""))</f>
        <v>70</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IF($F126="","",IFERROR(IFERROR(INDEX(Réttabanki!$U:$U,MATCH($F126,Réttabanki!$A:$A,0)),INDEX(Vöruskrá!$R:$R,MATCH($F126,Vöruskrá!$B:$B,0)))*($H126+IF($I126="",$H126*(1+$AE$2),$I126))/2/1000,""))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377.49374999999998</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377.49374999999998</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IF($F131="","",IFERROR(IFERROR(INDEX(Réttabanki!$U:$U,MATCH($F131,Réttabanki!$A:$A,0)),INDEX(Vöruskrá!$R:$R,MATCH($F131,Vöruskrá!$B:$B,0)))*($H131+IF($I131="",$H131*(1+$AE$2),$I131))/2/1000,""))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f>IF($F132="","",IFERROR(IFERROR(INDEX(Réttabanki!$U:$U,MATCH($F132,Réttabanki!$A:$A,0)),INDEX(Vöruskrá!$R:$R,MATCH($F132,Vöruskrá!$B:$B,0)))*($H132+IF($I132="",$H132*(1+$AE$2),$I132))/2/1000,""))</f>
        <v>472.5</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208">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IF($F135="","",IFERROR(IFERROR(INDEX(Réttabanki!$U:$U,MATCH($F135,Réttabanki!$A:$A,0)),INDEX(Vöruskrá!$R:$R,MATCH($F135,Vöruskrá!$B:$B,0)))*($H135+IF($I135="",$H135*(1+$AE$2),$I135))/2/1000,""))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f>IF($F136="","",IFERROR(IFERROR(INDEX(Réttabanki!$U:$U,MATCH($F136,Réttabanki!$A:$A,0)),INDEX(Vöruskrá!$R:$R,MATCH($F136,Vöruskrá!$B:$B,0)))*($H136+IF($I136="",$H136*(1+$AE$2),$I136))/2/1000,""))</f>
        <v>300</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f>IF($F137="","",IFERROR(IFERROR(INDEX(Réttabanki!$U:$U,MATCH($F137,Réttabanki!$A:$A,0)),INDEX(Vöruskrá!$R:$R,MATCH($F137,Vöruskrá!$B:$B,0)))*($H137+IF($I137="",$H137*(1+$AE$2),$I137))/2/1000,""))</f>
        <v>18.75</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f>IF($F138="","",IFERROR(IFERROR(INDEX(Réttabanki!$U:$U,MATCH($F138,Réttabanki!$A:$A,0)),INDEX(Vöruskrá!$R:$R,MATCH($F138,Vöruskrá!$B:$B,0)))*($H138+IF($I138="",$H138*(1+$AE$2),$I138))/2/1000,""))</f>
        <v>264.55195979899497</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f>IF($F139="","",IFERROR(IFERROR(INDEX(Réttabanki!$U:$U,MATCH($F139,Réttabanki!$A:$A,0)),INDEX(Vöruskrá!$R:$R,MATCH($F139,Vöruskrá!$B:$B,0)))*($H139+IF($I139="",$H139*(1+$AE$2),$I139))/2/1000,""))</f>
        <v>300</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IF($F141="","",IFERROR(IFERROR(INDEX(Réttabanki!$U:$U,MATCH($F141,Réttabanki!$A:$A,0)),INDEX(Vöruskrá!$R:$R,MATCH($F141,Vöruskrá!$B:$B,0)))*($H141+IF($I141="",$H141*(1+$AE$2),$I141))/2/1000,""))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583.75</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583.75</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f>IF($F147="","",IFERROR(IFERROR(INDEX(Réttabanki!$U:$U,MATCH($F147,Réttabanki!$A:$A,0)),INDEX(Vöruskrá!$R:$R,MATCH($F147,Vöruskrá!$B:$B,0)))*($H147+IF($I147="",$H147*(1+$AE$2),$I147))/2/1000,""))</f>
        <v>283.5</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f>IF($F148="","",IFERROR(IFERROR(INDEX(Réttabanki!$U:$U,MATCH($F148,Réttabanki!$A:$A,0)),INDEX(Vöruskrá!$R:$R,MATCH($F148,Vöruskrá!$B:$B,0)))*($H148+IF($I148="",$H148*(1+$AE$2),$I148))/2/1000,""))</f>
        <v>112.5</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IF($F149="","",IFERROR(IFERROR(INDEX(Réttabanki!$U:$U,MATCH($F149,Réttabanki!$A:$A,0)),INDEX(Vöruskrá!$R:$R,MATCH($F149,Vöruskrá!$B:$B,0)))*($H149+IF($I149="",$H149*(1+$AE$2),$I149))/2/1000,""))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f>IF($F150="","",IFERROR(IFERROR(INDEX(Réttabanki!$U:$U,MATCH($F150,Réttabanki!$A:$A,0)),INDEX(Vöruskrá!$R:$R,MATCH($F150,Vöruskrá!$B:$B,0)))*($H150+IF($I150="",$H150*(1+$AE$2),$I150))/2/1000,""))</f>
        <v>375</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f>IF($F151="","",IFERROR(IFERROR(INDEX(Réttabanki!$U:$U,MATCH($F151,Réttabanki!$A:$A,0)),INDEX(Vöruskrá!$R:$R,MATCH($F151,Vöruskrá!$B:$B,0)))*($H151+IF($I151="",$H151*(1+$AE$2),$I151))/2/1000,""))</f>
        <v>112.5</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f>IF($F152="","",IFERROR(IFERROR(INDEX(Réttabanki!$U:$U,MATCH($F152,Réttabanki!$A:$A,0)),INDEX(Vöruskrá!$R:$R,MATCH($F152,Vöruskrá!$B:$B,0)))*($H152+IF($I152="",$H152*(1+$AE$2),$I152))/2/1000,""))</f>
        <v>0</v>
      </c>
      <c r="K152" s="21" t="s">
        <v>2036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IF($F155="","",IFERROR(IFERROR(INDEX(Réttabanki!$U:$U,MATCH($F155,Réttabanki!$A:$A,0)),INDEX(Vöruskrá!$R:$R,MATCH($F155,Vöruskrá!$B:$B,0)))*($H155+IF($I155="",$H155*(1+$AE$2),$I155))/2/1000,""))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471</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471</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IF($F162="","",IFERROR(IFERROR(INDEX(Réttabanki!$U:$U,MATCH($F162,Réttabanki!$A:$A,0)),INDEX(Vöruskrá!$R:$R,MATCH($F162,Vöruskrá!$B:$B,0)))*($H162+IF($I162="",$H162*(1+$AE$2),$I162))/2/1000,""))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f>IF($F163="","",IFERROR(IFERROR(INDEX(Réttabanki!$U:$U,MATCH($F163,Réttabanki!$A:$A,0)),INDEX(Vöruskrá!$R:$R,MATCH($F163,Vöruskrá!$B:$B,0)))*($H163+IF($I163="",$H163*(1+$AE$2),$I163))/2/1000,""))</f>
        <v>368.99900000000002</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IF($F166="","",IFERROR(IFERROR(INDEX(Réttabanki!$U:$U,MATCH($F166,Réttabanki!$A:$A,0)),INDEX(Vöruskrá!$R:$R,MATCH($F166,Vöruskrá!$B:$B,0)))*($H166+IF($I166="",$H166*(1+$AE$2),$I166))/2/1000,""))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IF($F168="","",IFERROR(IFERROR(INDEX(Réttabanki!$U:$U,MATCH($F168,Réttabanki!$A:$A,0)),INDEX(Vöruskrá!$R:$R,MATCH($F168,Vöruskrá!$B:$B,0)))*($H168+IF($I168="",$H168*(1+$AE$2),$I168))/2/1000,""))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IF($F169="","",IFERROR(IFERROR(INDEX(Réttabanki!$U:$U,MATCH($F169,Réttabanki!$A:$A,0)),INDEX(Vöruskrá!$R:$R,MATCH($F169,Vöruskrá!$B:$B,0)))*($H169+IF($I169="",$H169*(1+$AE$2),$I169))/2/1000,""))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IF($F173="","",IFERROR(IFERROR(INDEX(Réttabanki!$U:$U,MATCH($F173,Réttabanki!$A:$A,0)),INDEX(Vöruskrá!$R:$R,MATCH($F173,Vöruskrá!$B:$B,0)))*($H173+IF($I173="",$H173*(1+$AE$2),$I173))/2/1000,""))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f>IF($F175="","",IFERROR(IFERROR(INDEX(Réttabanki!$U:$U,MATCH($F175,Réttabanki!$A:$A,0)),INDEX(Vöruskrá!$R:$R,MATCH($F175,Vöruskrá!$B:$B,0)))*($H175+IF($I175="",$H175*(1+$AE$2),$I175))/2/1000,""))</f>
        <v>70</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666.44188000000008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666.44188000000008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IF($F178="","",IFERROR(IFERROR(INDEX(Réttabanki!$U:$U,MATCH($F178,Réttabanki!$A:$A,0)),INDEX(Vöruskrá!$R:$R,MATCH($F178,Vöruskrá!$B:$B,0)))*($H178+IF($I178="",$H178*(1+$AE$2),$I178))/2/1000,""))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IF($F179="","",IFERROR(IFERROR(INDEX(Réttabanki!$U:$U,MATCH($F179,Réttabanki!$A:$A,0)),INDEX(Vöruskrá!$R:$R,MATCH($F179,Vöruskrá!$B:$B,0)))*($H179+IF($I179="",$H179*(1+$AE$2),$I179))/2/1000,""))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IF($F180="","",IFERROR(IFERROR(INDEX(Réttabanki!$U:$U,MATCH($F180,Réttabanki!$A:$A,0)),INDEX(Vöruskrá!$R:$R,MATCH($F180,Vöruskrá!$B:$B,0)))*($H180+IF($I180="",$H180*(1+$AE$2),$I180))/2/1000,""))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IF($F182="","",IFERROR(IFERROR(INDEX(Réttabanki!$U:$U,MATCH($F182,Réttabanki!$A:$A,0)),INDEX(Vöruskrá!$R:$R,MATCH($F182,Vöruskrá!$B:$B,0)))*($H182+IF($I182="",$H182*(1+$AE$2),$I182))/2/1000,""))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IF($F183="","",IFERROR(IFERROR(INDEX(Réttabanki!$U:$U,MATCH($F183,Réttabanki!$A:$A,0)),INDEX(Vöruskrá!$R:$R,MATCH($F183,Vöruskrá!$B:$B,0)))*($H183+IF($I183="",$H183*(1+$AE$2),$I183))/2/1000,""))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f>IF($F184="","",IFERROR(IFERROR(INDEX(Réttabanki!$U:$U,MATCH($F184,Réttabanki!$A:$A,0)),INDEX(Vöruskrá!$R:$R,MATCH($F184,Vöruskrá!$B:$B,0)))*($H184+IF($I184="",$H184*(1+$AE$2),$I184))/2/1000,""))</f>
        <v>380</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f>IF($F185="","",IFERROR(IFERROR(INDEX(Réttabanki!$U:$U,MATCH($F185,Réttabanki!$A:$A,0)),INDEX(Vöruskrá!$R:$R,MATCH($F185,Vöruskrá!$B:$B,0)))*($H185+IF($I185="",$H185*(1+$AE$2),$I185))/2/1000,""))</f>
        <v>20</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IF($F188="","",IFERROR(IFERROR(INDEX(Réttabanki!$U:$U,MATCH($F188,Réttabanki!$A:$A,0)),INDEX(Vöruskrá!$R:$R,MATCH($F188,Vöruskrá!$B:$B,0)))*($H188+IF($I188="",$H188*(1+$AE$2),$I188))/2/1000,""))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f>IF($F190="","",IFERROR(IFERROR(INDEX(Réttabanki!$U:$U,MATCH($F190,Réttabanki!$A:$A,0)),INDEX(Vöruskrá!$R:$R,MATCH($F190,Vöruskrá!$B:$B,0)))*($H190+IF($I190="",$H190*(1+$AE$2),$I190))/2/1000,""))</f>
        <v>20</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IF($F196="","",IFERROR(IFERROR(INDEX(Réttabanki!$U:$U,MATCH($F196,Réttabanki!$A:$A,0)),INDEX(Vöruskrá!$R:$R,MATCH($F196,Vöruskrá!$B:$B,0)))*($H196+IF($I196="",$H196*(1+$AE$2),$I196))/2/1000,""))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623.25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623.25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IF($F201="","",IFERROR(IFERROR(INDEX(Réttabanki!$U:$U,MATCH($F201,Réttabanki!$A:$A,0)),INDEX(Vöruskrá!$R:$R,MATCH($F201,Vöruskrá!$B:$B,0)))*($H201+IF($I201="",$H201*(1+$AE$2),$I201))/2/1000,""))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IF($F202="","",IFERROR(IFERROR(INDEX(Réttabanki!$U:$U,MATCH($F202,Réttabanki!$A:$A,0)),INDEX(Vöruskrá!$R:$R,MATCH($F202,Vöruskrá!$B:$B,0)))*($H202+IF($I202="",$H202*(1+$AE$2),$I202))/2/1000,""))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IF($F203="","",IFERROR(IFERROR(INDEX(Réttabanki!$U:$U,MATCH($F203,Réttabanki!$A:$A,0)),INDEX(Vöruskrá!$R:$R,MATCH($F203,Vöruskrá!$B:$B,0)))*($H203+IF($I203="",$H203*(1+$AE$2),$I203))/2/1000,""))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IF($F204="","",IFERROR(IFERROR(INDEX(Réttabanki!$U:$U,MATCH($F204,Réttabanki!$A:$A,0)),INDEX(Vöruskrá!$R:$R,MATCH($F204,Vöruskrá!$B:$B,0)))*($H204+IF($I204="",$H204*(1+$AE$2),$I204))/2/1000,""))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f>IF($F207="","",IFERROR(IFERROR(INDEX(Réttabanki!$U:$U,MATCH($F207,Réttabanki!$A:$A,0)),INDEX(Vöruskrá!$R:$R,MATCH($F207,Vöruskrá!$B:$B,0)))*($H207+IF($I207="",$H207*(1+$AE$2),$I207))/2/1000,""))</f>
        <v>17.5</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IF($F208="","",IFERROR(IFERROR(INDEX(Réttabanki!$U:$U,MATCH($F208,Réttabanki!$A:$A,0)),INDEX(Vöruskrá!$R:$R,MATCH($F208,Vöruskrá!$B:$B,0)))*($H208+IF($I208="",$H208*(1+$AE$2),$I208))/2/1000,""))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f>IF($F209="","",IFERROR(IFERROR(INDEX(Réttabanki!$U:$U,MATCH($F209,Réttabanki!$A:$A,0)),INDEX(Vöruskrá!$R:$R,MATCH($F209,Vöruskrá!$B:$B,0)))*($H209+IF($I209="",$H209*(1+$AE$2),$I209))/2/1000,""))</f>
        <v>200</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f>IF($F211="","",IFERROR(IFERROR(INDEX(Réttabanki!$U:$U,MATCH($F211,Réttabanki!$A:$A,0)),INDEX(Vöruskrá!$R:$R,MATCH($F211,Vöruskrá!$B:$B,0)))*($H211+IF($I211="",$H211*(1+$AE$2),$I211))/2/1000,""))</f>
        <v>17.5</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f>IF($F212="","",IFERROR(IFERROR(INDEX(Réttabanki!$U:$U,MATCH($F212,Réttabanki!$A:$A,0)),INDEX(Vöruskrá!$R:$R,MATCH($F212,Vöruskrá!$B:$B,0)))*($H212+IF($I212="",$H212*(1+$AE$2),$I212))/2/1000,""))</f>
        <v>200</v>
      </c>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f>IF($F213="","",IFERROR(IFERROR(INDEX(Réttabanki!$U:$U,MATCH($F213,Réttabanki!$A:$A,0)),INDEX(Vöruskrá!$R:$R,MATCH($F213,Vöruskrá!$B:$B,0)))*($H213+IF($I213="",$H213*(1+$AE$2),$I213))/2/1000,""))</f>
        <v>166.25</v>
      </c>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IF($F216="","",IFERROR(IFERROR(INDEX(Réttabanki!$U:$U,MATCH($F216,Réttabanki!$A:$A,0)),INDEX(Vöruskrá!$R:$R,MATCH($F216,Vöruskrá!$B:$B,0)))*($H216+IF($I216="",$H216*(1+$AE$2),$I216))/2/1000,""))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470.53277300000002</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470.53277300000002</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IF($F221="","",IFERROR(IFERROR(INDEX(Réttabanki!$U:$U,MATCH($F221,Réttabanki!$A:$A,0)),INDEX(Vöruskrá!$R:$R,MATCH($F221,Vöruskrá!$B:$B,0)))*($H221+IF($I221="",$H221*(1+$AE$2),$I221))/2/1000,""))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IF($F222="","",IFERROR(IFERROR(INDEX(Réttabanki!$U:$U,MATCH($F222,Réttabanki!$A:$A,0)),INDEX(Vöruskrá!$R:$R,MATCH($F222,Vöruskrá!$B:$B,0)))*($H222+IF($I222="",$H222*(1+$AE$2),$I222))/2/1000,""))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IF($F223="","",IFERROR(IFERROR(INDEX(Réttabanki!$U:$U,MATCH($F223,Réttabanki!$A:$A,0)),INDEX(Vöruskrá!$R:$R,MATCH($F223,Vöruskrá!$B:$B,0)))*($H223+IF($I223="",$H223*(1+$AE$2),$I223))/2/1000,""))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IF($F224="","",IFERROR(IFERROR(INDEX(Réttabanki!$U:$U,MATCH($F224,Réttabanki!$A:$A,0)),INDEX(Vöruskrá!$R:$R,MATCH($F224,Vöruskrá!$B:$B,0)))*($H224+IF($I224="",$H224*(1+$AE$2),$I224))/2/1000,""))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f>IF($F225="","",IFERROR(IFERROR(INDEX(Réttabanki!$U:$U,MATCH($F225,Réttabanki!$A:$A,0)),INDEX(Vöruskrá!$R:$R,MATCH($F225,Vöruskrá!$B:$B,0)))*($H225+IF($I225="",$H225*(1+$AE$2),$I225))/2/1000,""))</f>
        <v>360</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f>IF($F228="","",IFERROR(IFERROR(INDEX(Réttabanki!$U:$U,MATCH($F228,Réttabanki!$A:$A,0)),INDEX(Vöruskrá!$R:$R,MATCH($F228,Vöruskrá!$B:$B,0)))*($H228+IF($I228="",$H228*(1+$AE$2),$I228))/2/1000,""))</f>
        <v>360</v>
      </c>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f>IF($F230="","",IFERROR(IFERROR(INDEX(Réttabanki!$U:$U,MATCH($F230,Réttabanki!$A:$A,0)),INDEX(Vöruskrá!$R:$R,MATCH($F230,Vöruskrá!$B:$B,0)))*($H230+IF($I230="",$H230*(1+$AE$2),$I230))/2/1000,""))</f>
        <v>56.25</v>
      </c>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f>IF($F231="","",IFERROR(IFERROR(INDEX(Réttabanki!$U:$U,MATCH($F231,Réttabanki!$A:$A,0)),INDEX(Vöruskrá!$R:$R,MATCH($F231,Vöruskrá!$B:$B,0)))*($H231+IF($I231="",$H231*(1+$AE$2),$I231))/2/1000,""))</f>
        <v>380</v>
      </c>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f>IF($F232="","",IFERROR(IFERROR(INDEX(Réttabanki!$U:$U,MATCH($F232,Réttabanki!$A:$A,0)),INDEX(Vöruskrá!$R:$R,MATCH($F232,Vöruskrá!$B:$B,0)))*($H232+IF($I232="",$H232*(1+$AE$2),$I232))/2/1000,""))</f>
        <v>56.25</v>
      </c>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IF($F235="","",IFERROR(IFERROR(INDEX(Réttabanki!$U:$U,MATCH($F235,Réttabanki!$A:$A,0)),INDEX(Vöruskrá!$R:$R,MATCH($F235,Vöruskrá!$B:$B,0)))*($H235+IF($I235="",$H235*(1+$AE$2),$I235))/2/1000,""))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f>IF($F236="","",IFERROR(IFERROR(INDEX(Réttabanki!$U:$U,MATCH($F236,Réttabanki!$A:$A,0)),INDEX(Vöruskrá!$R:$R,MATCH($F236,Vöruskrá!$B:$B,0)))*($H236+IF($I236="",$H236*(1+$AE$2),$I236))/2/1000,""))</f>
        <v>0</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f>IF($F237="","",IFERROR(IFERROR(INDEX(Réttabanki!$U:$U,MATCH($F237,Réttabanki!$A:$A,0)),INDEX(Vöruskrá!$R:$R,MATCH($F237,Vöruskrá!$B:$B,0)))*($H237+IF($I237="",$H237*(1+$AE$2),$I237))/2/1000,""))</f>
        <v>45</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578.93025399999999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578.93025399999999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IF($F240="","",IFERROR(IFERROR(INDEX(Réttabanki!$U:$U,MATCH($F240,Réttabanki!$A:$A,0)),INDEX(Vöruskrá!$R:$R,MATCH($F240,Vöruskrá!$B:$B,0)))*($H240+IF($I240="",$H240*(1+$AE$2),$I240))/2/1000,""))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IF($F241="","",IFERROR(IFERROR(INDEX(Réttabanki!$U:$U,MATCH($F241,Réttabanki!$A:$A,0)),INDEX(Vöruskrá!$R:$R,MATCH($F241,Vöruskrá!$B:$B,0)))*($H241+IF($I241="",$H241*(1+$AE$2),$I241))/2/1000,""))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IF($F243="","",IFERROR(IFERROR(INDEX(Réttabanki!$U:$U,MATCH($F243,Réttabanki!$A:$A,0)),INDEX(Vöruskrá!$R:$R,MATCH($F243,Vöruskrá!$B:$B,0)))*($H243+IF($I243="",$H243*(1+$AE$2),$I243))/2/1000,""))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f>IF($F244="","",IFERROR(IFERROR(INDEX(Réttabanki!$U:$U,MATCH($F244,Réttabanki!$A:$A,0)),INDEX(Vöruskrá!$R:$R,MATCH($F244,Vöruskrá!$B:$B,0)))*($H244+IF($I244="",$H244*(1+$AE$2),$I244))/2/1000,""))</f>
        <v>520</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IF($F253="","",IFERROR(IFERROR(INDEX(Réttabanki!$U:$U,MATCH($F253,Réttabanki!$A:$A,0)),INDEX(Vöruskrá!$R:$R,MATCH($F253,Vöruskrá!$B:$B,0)))*($H253+IF($I253="",$H253*(1+$AE$2),$I253))/2/1000,""))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880.44003999999995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880.44003999999995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IF($F258="","",IFERROR(IFERROR(INDEX(Réttabanki!$U:$U,MATCH($F258,Réttabanki!$A:$A,0)),INDEX(Vöruskrá!$R:$R,MATCH($F258,Vöruskrá!$B:$B,0)))*($H258+IF($I258="",$H258*(1+$AE$2),$I258))/2/1000,""))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IF($F259="","",IFERROR(IFERROR(INDEX(Réttabanki!$U:$U,MATCH($F259,Réttabanki!$A:$A,0)),INDEX(Vöruskrá!$R:$R,MATCH($F259,Vöruskrá!$B:$B,0)))*($H259+IF($I259="",$H259*(1+$AE$2),$I259))/2/1000,""))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IF($F260="","",IFERROR(IFERROR(INDEX(Réttabanki!$U:$U,MATCH($F260,Réttabanki!$A:$A,0)),INDEX(Vöruskrá!$R:$R,MATCH($F260,Vöruskrá!$B:$B,0)))*($H260+IF($I260="",$H260*(1+$AE$2),$I260))/2/1000,""))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IF($F261="","",IFERROR(IFERROR(INDEX(Réttabanki!$U:$U,MATCH($F261,Réttabanki!$A:$A,0)),INDEX(Vöruskrá!$R:$R,MATCH($F261,Vöruskrá!$B:$B,0)))*($H261+IF($I261="",$H261*(1+$AE$2),$I261))/2/1000,""))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f>IF($F262="","",IFERROR(IFERROR(INDEX(Réttabanki!$U:$U,MATCH($F262,Réttabanki!$A:$A,0)),INDEX(Vöruskrá!$R:$R,MATCH($F262,Vöruskrá!$B:$B,0)))*($H262+IF($I262="",$H262*(1+$AE$2),$I262))/2/1000,""))</f>
        <v>180.09521836566529</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f>IF($F263="","",IFERROR(IFERROR(INDEX(Réttabanki!$U:$U,MATCH($F263,Réttabanki!$A:$A,0)),INDEX(Vöruskrá!$R:$R,MATCH($F263,Vöruskrá!$B:$B,0)))*($H263+IF($I263="",$H263*(1+$AE$2),$I263))/2/1000,""))</f>
        <v>50</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f>IF($F266="","",IFERROR(IFERROR(INDEX(Réttabanki!$U:$U,MATCH($F266,Réttabanki!$A:$A,0)),INDEX(Vöruskrá!$R:$R,MATCH($F266,Vöruskrá!$B:$B,0)))*($H266+IF($I266="",$H266*(1+$AE$2),$I266))/2/1000,""))</f>
        <v>50</v>
      </c>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IF($F269="","",IFERROR(IFERROR(INDEX(Réttabanki!$U:$U,MATCH($F269,Réttabanki!$A:$A,0)),INDEX(Vöruskrá!$R:$R,MATCH($F269,Vöruskrá!$B:$B,0)))*($H269+IF($I269="",$H269*(1+$AE$2),$I269))/2/1000,""))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f>IF($F271="","",IFERROR(IFERROR(INDEX(Réttabanki!$U:$U,MATCH($F271,Réttabanki!$A:$A,0)),INDEX(Vöruskrá!$R:$R,MATCH($F271,Vöruskrá!$B:$B,0)))*($H271+IF($I271="",$H271*(1+$AE$2),$I271))/2/1000,""))</f>
        <v>70</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445.82962836566526</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445.82962836566526</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IF($F274="","",IFERROR(IFERROR(INDEX(Réttabanki!$U:$U,MATCH($F274,Réttabanki!$A:$A,0)),INDEX(Vöruskrá!$R:$R,MATCH($F274,Vöruskrá!$B:$B,0)))*($H274+IF($I274="",$H274*(1+$AE$2),$I274))/2/1000,""))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IF($F275="","",IFERROR(IFERROR(INDEX(Réttabanki!$U:$U,MATCH($F275,Réttabanki!$A:$A,0)),INDEX(Vöruskrá!$R:$R,MATCH($F275,Vöruskrá!$B:$B,0)))*($H275+IF($I275="",$H275*(1+$AE$2),$I275))/2/1000,""))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f>IF($F278="","",IFERROR(IFERROR(INDEX(Réttabanki!$U:$U,MATCH($F278,Réttabanki!$A:$A,0)),INDEX(Vöruskrá!$R:$R,MATCH($F278,Vöruskrá!$B:$B,0)))*($H278+IF($I278="",$H278*(1+$AE$2),$I278))/2/1000,""))</f>
        <v>472.5</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30">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f>IF($F282="","",IFERROR(IFERROR(INDEX(Réttabanki!$U:$U,MATCH($F282,Réttabanki!$A:$A,0)),INDEX(Vöruskrá!$R:$R,MATCH($F282,Vöruskrá!$B:$B,0)))*($H282+IF($I282="",$H282*(1+$AE$2),$I282))/2/1000,""))</f>
        <v>264.55195979899497</v>
      </c>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f>IF($F283="","",IFERROR(IFERROR(INDEX(Réttabanki!$U:$U,MATCH($F283,Réttabanki!$A:$A,0)),INDEX(Vöruskrá!$R:$R,MATCH($F283,Vöruskrá!$B:$B,0)))*($H283+IF($I283="",$H283*(1+$AE$2),$I283))/2/1000,""))</f>
        <v>300</v>
      </c>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IF($F286="","",IFERROR(IFERROR(INDEX(Réttabanki!$U:$U,MATCH($F286,Réttabanki!$A:$A,0)),INDEX(Vöruskrá!$R:$R,MATCH($F286,Vöruskrá!$B:$B,0)))*($H286+IF($I286="",$H286*(1+$AE$2),$I286))/2/1000,""))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f>IF($F288="","",IFERROR(IFERROR(INDEX(Réttabanki!$U:$U,MATCH($F288,Réttabanki!$A:$A,0)),INDEX(Vöruskrá!$R:$R,MATCH($F288,Vöruskrá!$B:$B,0)))*($H288+IF($I288="",$H288*(1+$AE$2),$I288))/2/1000,""))</f>
        <v>45</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712.78324999999995</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712.78324999999995</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7" priority="2">
      <formula>AND($A3&lt;&gt;"",OR($D3="",$D3="Bæði",$D3="Leikskóli",$D3="Grunnskóli"))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28" t="s">
        <v>2939</v>
      </c>
      <c r="B1" s="328"/>
      <c r="C1" s="328"/>
      <c r="D1" s="328"/>
      <c r="E1" s="328"/>
      <c r="F1" s="328"/>
      <c r="G1" s="328"/>
      <c r="H1" s="328"/>
      <c r="I1" s="328"/>
    </row>
    <row r="2" spans="1:9" ht="47.25" customHeight="1">
      <c r="A2" s="329" t="s">
        <v>2940</v>
      </c>
      <c r="B2" s="329"/>
      <c r="C2" s="329"/>
      <c r="D2" s="329"/>
      <c r="E2" s="329"/>
      <c r="F2" s="329"/>
      <c r="G2" s="329"/>
      <c r="H2" s="329"/>
      <c r="I2" s="329"/>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30" t="s">
        <v>3909</v>
      </c>
      <c r="B1" s="330"/>
      <c r="C1" s="330"/>
      <c r="D1" s="330"/>
      <c r="E1" s="330"/>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1" t="s">
        <v>4014</v>
      </c>
      <c r="B1" s="331"/>
      <c r="C1" s="331"/>
      <c r="D1" s="331"/>
      <c r="E1" s="331"/>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5"/>
  <cols>
    <col min="1" max="1" width="44.7265625" customWidth="1"/>
    <col min="2" max="2" width="13.26953125" style="317" customWidth="1"/>
    <col min="3" max="3" width="11.08984375" bestFit="1" customWidth="1"/>
    <col min="4" max="4" width="15.7265625" bestFit="1" customWidth="1"/>
    <col min="5" max="5" width="19.26953125" bestFit="1" customWidth="1"/>
    <col min="6" max="6" width="25.6328125" bestFit="1" customWidth="1"/>
    <col min="7" max="7" width="37.90625" bestFit="1" customWidth="1"/>
    <col min="8" max="8" width="15.54296875" bestFit="1" customWidth="1"/>
    <col min="9" max="9" width="30.7265625" bestFit="1" customWidth="1"/>
    <col min="10" max="10" width="10" bestFit="1" customWidth="1"/>
    <col min="11" max="11" width="37.81640625" bestFit="1" customWidth="1"/>
    <col min="12" max="12" width="20.90625" bestFit="1" customWidth="1"/>
    <col min="13" max="13" width="27.1796875" bestFit="1" customWidth="1"/>
    <col min="14" max="14" width="20" bestFit="1" customWidth="1"/>
    <col min="15" max="15" width="16" bestFit="1" customWidth="1"/>
  </cols>
  <sheetData>
    <row r="1" spans="1:16" ht="15.5">
      <c r="A1" s="313" t="s">
        <v>4326</v>
      </c>
    </row>
    <row r="2" spans="1:16" ht="20.25" customHeight="1">
      <c r="A2" s="314" t="s">
        <v>4280</v>
      </c>
      <c r="B2" s="318" t="s">
        <v>1826</v>
      </c>
      <c r="C2" s="314" t="s">
        <v>2987</v>
      </c>
      <c r="D2" s="314" t="s">
        <v>4282</v>
      </c>
      <c r="E2" s="314" t="s">
        <v>4292</v>
      </c>
      <c r="F2" s="314" t="s">
        <v>4281</v>
      </c>
      <c r="G2" s="314" t="s">
        <v>4327</v>
      </c>
      <c r="H2" s="314" t="s">
        <v>4164</v>
      </c>
      <c r="I2" s="314" t="s">
        <v>4328</v>
      </c>
      <c r="J2" s="314" t="s">
        <v>4329</v>
      </c>
      <c r="K2" s="314" t="s">
        <v>4330</v>
      </c>
      <c r="L2" s="314" t="s">
        <v>4331</v>
      </c>
      <c r="M2" s="314" t="s">
        <v>1452</v>
      </c>
      <c r="N2" s="314" t="s">
        <v>4283</v>
      </c>
      <c r="O2" s="314" t="s">
        <v>4284</v>
      </c>
      <c r="P2" s="314" t="s">
        <v>4285</v>
      </c>
    </row>
    <row r="3" spans="1:16">
      <c r="A3" s="315" t="s">
        <v>4336</v>
      </c>
      <c r="B3" s="319">
        <v>46280</v>
      </c>
      <c r="C3" s="315" t="s">
        <v>1860</v>
      </c>
      <c r="D3" s="315" t="s">
        <v>4298</v>
      </c>
      <c r="E3" s="315"/>
      <c r="F3" s="315" t="s">
        <v>2509</v>
      </c>
      <c r="G3" s="315" t="s">
        <v>4291</v>
      </c>
      <c r="H3" s="315" t="s">
        <v>4295</v>
      </c>
      <c r="I3" s="315" t="s">
        <v>4323</v>
      </c>
      <c r="J3" s="315">
        <v>60</v>
      </c>
      <c r="K3" s="315"/>
      <c r="L3" s="315"/>
      <c r="M3" s="315" t="s">
        <v>4337</v>
      </c>
      <c r="N3" s="315" t="s">
        <v>4338</v>
      </c>
      <c r="O3" s="315" t="s">
        <v>4339</v>
      </c>
      <c r="P3" s="315" t="s">
        <v>4399</v>
      </c>
    </row>
    <row r="4" spans="1:16">
      <c r="A4" s="315" t="s">
        <v>4340</v>
      </c>
      <c r="B4" s="319">
        <v>46236</v>
      </c>
      <c r="C4" s="315" t="s">
        <v>1892</v>
      </c>
      <c r="D4" s="315" t="s">
        <v>3409</v>
      </c>
      <c r="E4" s="315" t="s">
        <v>4341</v>
      </c>
      <c r="F4" s="315" t="s">
        <v>2261</v>
      </c>
      <c r="G4" s="315" t="s">
        <v>4332</v>
      </c>
      <c r="H4" s="315"/>
      <c r="I4" s="315"/>
      <c r="J4" s="315">
        <v>1</v>
      </c>
      <c r="K4" s="315"/>
      <c r="L4" s="315"/>
      <c r="M4" s="315" t="s">
        <v>4342</v>
      </c>
      <c r="N4" s="315" t="s">
        <v>4343</v>
      </c>
      <c r="O4" s="315" t="s">
        <v>4344</v>
      </c>
      <c r="P4" s="315" t="s">
        <v>4399</v>
      </c>
    </row>
    <row r="5" spans="1:16">
      <c r="A5" s="315" t="s">
        <v>4345</v>
      </c>
      <c r="B5" s="319">
        <v>46236</v>
      </c>
      <c r="C5" s="315" t="s">
        <v>1892</v>
      </c>
      <c r="D5" s="315" t="s">
        <v>3409</v>
      </c>
      <c r="E5" s="315" t="s">
        <v>4341</v>
      </c>
      <c r="F5" s="315" t="s">
        <v>2268</v>
      </c>
      <c r="G5" s="315" t="s">
        <v>4332</v>
      </c>
      <c r="H5" s="315"/>
      <c r="I5" s="315"/>
      <c r="J5" s="315">
        <v>1</v>
      </c>
      <c r="K5" s="315"/>
      <c r="L5" s="315"/>
      <c r="M5" s="315" t="s">
        <v>4342</v>
      </c>
      <c r="N5" s="315" t="s">
        <v>4343</v>
      </c>
      <c r="O5" s="315" t="s">
        <v>4346</v>
      </c>
      <c r="P5" s="315" t="s">
        <v>4399</v>
      </c>
    </row>
    <row r="6" spans="1:16">
      <c r="A6" s="315" t="s">
        <v>4347</v>
      </c>
      <c r="B6" s="319">
        <v>46236</v>
      </c>
      <c r="C6" s="315" t="s">
        <v>1892</v>
      </c>
      <c r="D6" s="315" t="s">
        <v>3409</v>
      </c>
      <c r="E6" s="315" t="s">
        <v>4341</v>
      </c>
      <c r="F6" s="315" t="s">
        <v>2265</v>
      </c>
      <c r="G6" s="315" t="s">
        <v>4332</v>
      </c>
      <c r="H6" s="315"/>
      <c r="I6" s="315"/>
      <c r="J6" s="315">
        <v>1</v>
      </c>
      <c r="K6" s="315"/>
      <c r="L6" s="315"/>
      <c r="M6" s="315" t="s">
        <v>4342</v>
      </c>
      <c r="N6" s="315" t="s">
        <v>4343</v>
      </c>
      <c r="O6" s="315" t="s">
        <v>4348</v>
      </c>
      <c r="P6" s="315" t="s">
        <v>4399</v>
      </c>
    </row>
    <row r="7" spans="1:16">
      <c r="A7" s="315" t="s">
        <v>4349</v>
      </c>
      <c r="B7" s="319">
        <v>46236</v>
      </c>
      <c r="C7" s="315" t="s">
        <v>1892</v>
      </c>
      <c r="D7" s="315" t="s">
        <v>3409</v>
      </c>
      <c r="E7" s="315" t="s">
        <v>4341</v>
      </c>
      <c r="F7" s="315" t="s">
        <v>4013</v>
      </c>
      <c r="G7" s="315" t="s">
        <v>4332</v>
      </c>
      <c r="H7" s="315"/>
      <c r="I7" s="315"/>
      <c r="J7" s="315">
        <v>1</v>
      </c>
      <c r="K7" s="315"/>
      <c r="L7" s="315"/>
      <c r="M7" s="315" t="s">
        <v>4342</v>
      </c>
      <c r="N7" s="315" t="s">
        <v>4343</v>
      </c>
      <c r="O7" s="315" t="s">
        <v>4350</v>
      </c>
      <c r="P7" s="315" t="s">
        <v>4399</v>
      </c>
    </row>
    <row r="8" spans="1:16">
      <c r="A8" s="315" t="s">
        <v>4351</v>
      </c>
      <c r="B8" s="319">
        <v>46236</v>
      </c>
      <c r="C8" s="315" t="s">
        <v>1892</v>
      </c>
      <c r="D8" s="315" t="s">
        <v>3409</v>
      </c>
      <c r="E8" s="315" t="s">
        <v>4341</v>
      </c>
      <c r="F8" s="315" t="s">
        <v>2509</v>
      </c>
      <c r="G8" s="315" t="s">
        <v>4291</v>
      </c>
      <c r="H8" s="315"/>
      <c r="I8" s="315"/>
      <c r="J8" s="315">
        <v>1</v>
      </c>
      <c r="K8" s="315"/>
      <c r="L8" s="315"/>
      <c r="M8" s="315" t="s">
        <v>4342</v>
      </c>
      <c r="N8" s="315" t="s">
        <v>4343</v>
      </c>
      <c r="O8" s="315" t="s">
        <v>4352</v>
      </c>
      <c r="P8" s="315" t="s">
        <v>4399</v>
      </c>
    </row>
    <row r="9" spans="1:16">
      <c r="A9" s="315" t="s">
        <v>4353</v>
      </c>
      <c r="B9" s="319">
        <v>46236</v>
      </c>
      <c r="C9" s="315" t="s">
        <v>1892</v>
      </c>
      <c r="D9" s="315" t="s">
        <v>4298</v>
      </c>
      <c r="E9" s="315"/>
      <c r="F9" s="315" t="s">
        <v>2509</v>
      </c>
      <c r="G9" s="315" t="s">
        <v>4291</v>
      </c>
      <c r="H9" s="315" t="s">
        <v>1893</v>
      </c>
      <c r="I9" s="315" t="s">
        <v>4297</v>
      </c>
      <c r="J9" s="315"/>
      <c r="K9" s="315"/>
      <c r="L9" s="315"/>
      <c r="M9" s="315" t="s">
        <v>4354</v>
      </c>
      <c r="N9" s="315" t="s">
        <v>4343</v>
      </c>
      <c r="O9" s="315" t="s">
        <v>4355</v>
      </c>
      <c r="P9" s="315" t="s">
        <v>4399</v>
      </c>
    </row>
    <row r="10" spans="1:16">
      <c r="A10" s="315" t="s">
        <v>4356</v>
      </c>
      <c r="B10" s="319">
        <v>46240</v>
      </c>
      <c r="C10" s="315" t="s">
        <v>1892</v>
      </c>
      <c r="D10" s="315" t="s">
        <v>4298</v>
      </c>
      <c r="E10" s="315"/>
      <c r="F10" s="315" t="s">
        <v>2509</v>
      </c>
      <c r="G10" s="315" t="s">
        <v>4291</v>
      </c>
      <c r="H10" s="315" t="s">
        <v>4334</v>
      </c>
      <c r="I10" s="315" t="s">
        <v>4297</v>
      </c>
      <c r="J10" s="315"/>
      <c r="K10" s="315"/>
      <c r="L10" s="315"/>
      <c r="M10" s="315"/>
      <c r="N10" s="315" t="s">
        <v>4343</v>
      </c>
      <c r="O10" s="315" t="s">
        <v>4357</v>
      </c>
      <c r="P10" s="315" t="s">
        <v>4399</v>
      </c>
    </row>
    <row r="11" spans="1:16">
      <c r="A11" s="315" t="s">
        <v>4358</v>
      </c>
      <c r="B11" s="319">
        <v>46240</v>
      </c>
      <c r="C11" s="315" t="s">
        <v>1892</v>
      </c>
      <c r="D11" s="315" t="s">
        <v>4298</v>
      </c>
      <c r="E11" s="315"/>
      <c r="F11" s="315" t="s">
        <v>2509</v>
      </c>
      <c r="G11" s="315" t="s">
        <v>4291</v>
      </c>
      <c r="H11" s="315" t="s">
        <v>4295</v>
      </c>
      <c r="I11" s="315" t="s">
        <v>4323</v>
      </c>
      <c r="J11" s="315">
        <v>50</v>
      </c>
      <c r="K11" s="315"/>
      <c r="L11" s="315"/>
      <c r="M11" s="315"/>
      <c r="N11" s="315" t="s">
        <v>4343</v>
      </c>
      <c r="O11" s="315" t="s">
        <v>4359</v>
      </c>
      <c r="P11" s="315" t="s">
        <v>4362</v>
      </c>
    </row>
    <row r="12" spans="1:16">
      <c r="A12" s="315" t="s">
        <v>4360</v>
      </c>
      <c r="B12" s="319">
        <v>46240</v>
      </c>
      <c r="C12" s="315" t="s">
        <v>1892</v>
      </c>
      <c r="D12" s="315" t="s">
        <v>4298</v>
      </c>
      <c r="E12" s="315"/>
      <c r="F12" s="315" t="s">
        <v>2509</v>
      </c>
      <c r="G12" s="315" t="s">
        <v>4291</v>
      </c>
      <c r="H12" s="315" t="s">
        <v>1893</v>
      </c>
      <c r="I12" s="315" t="s">
        <v>4297</v>
      </c>
      <c r="J12" s="315"/>
      <c r="K12" s="315"/>
      <c r="L12" s="315"/>
      <c r="M12" s="315"/>
      <c r="N12" s="315" t="s">
        <v>4343</v>
      </c>
      <c r="O12" s="315" t="s">
        <v>4361</v>
      </c>
      <c r="P12" s="315" t="s">
        <v>4362</v>
      </c>
    </row>
    <row r="13" spans="1:16">
      <c r="A13" s="315" t="s">
        <v>4363</v>
      </c>
      <c r="B13" s="319">
        <v>46240</v>
      </c>
      <c r="C13" s="315" t="s">
        <v>1892</v>
      </c>
      <c r="D13" s="315" t="s">
        <v>4294</v>
      </c>
      <c r="E13" s="315"/>
      <c r="F13" s="315" t="s">
        <v>4293</v>
      </c>
      <c r="G13" s="315" t="s">
        <v>4332</v>
      </c>
      <c r="H13" s="315" t="s">
        <v>4334</v>
      </c>
      <c r="I13" s="315" t="s">
        <v>4297</v>
      </c>
      <c r="J13" s="315">
        <v>85</v>
      </c>
      <c r="K13" s="315"/>
      <c r="L13" s="315"/>
      <c r="M13" s="315"/>
      <c r="N13" s="315" t="s">
        <v>4343</v>
      </c>
      <c r="O13" s="315" t="s">
        <v>4364</v>
      </c>
      <c r="P13" s="315" t="s">
        <v>4362</v>
      </c>
    </row>
    <row r="14" spans="1:16">
      <c r="A14" s="315" t="s">
        <v>4365</v>
      </c>
      <c r="B14" s="319">
        <v>46240</v>
      </c>
      <c r="C14" s="315" t="s">
        <v>1892</v>
      </c>
      <c r="D14" s="315" t="s">
        <v>4294</v>
      </c>
      <c r="E14" s="315"/>
      <c r="F14" s="315" t="s">
        <v>4293</v>
      </c>
      <c r="G14" s="315" t="s">
        <v>4332</v>
      </c>
      <c r="H14" s="315" t="s">
        <v>4295</v>
      </c>
      <c r="I14" s="315" t="s">
        <v>4296</v>
      </c>
      <c r="J14" s="315">
        <v>85</v>
      </c>
      <c r="K14" s="315"/>
      <c r="L14" s="315"/>
      <c r="M14" s="315"/>
      <c r="N14" s="315" t="s">
        <v>4343</v>
      </c>
      <c r="O14" s="315" t="s">
        <v>4366</v>
      </c>
      <c r="P14" s="315" t="s">
        <v>4362</v>
      </c>
    </row>
    <row r="15" spans="1:16">
      <c r="A15" s="320" t="s">
        <v>4367</v>
      </c>
      <c r="B15" s="319">
        <v>46240</v>
      </c>
      <c r="C15" s="315" t="s">
        <v>1892</v>
      </c>
      <c r="D15" s="315" t="s">
        <v>4294</v>
      </c>
      <c r="E15" s="315"/>
      <c r="F15" s="315" t="s">
        <v>4293</v>
      </c>
      <c r="G15" s="315" t="s">
        <v>4332</v>
      </c>
      <c r="H15" s="315" t="s">
        <v>1893</v>
      </c>
      <c r="I15" s="315" t="s">
        <v>4296</v>
      </c>
      <c r="J15" s="315">
        <v>85</v>
      </c>
      <c r="K15" s="315"/>
      <c r="L15" s="315"/>
      <c r="M15" s="315"/>
      <c r="N15" s="315" t="s">
        <v>4343</v>
      </c>
      <c r="O15" s="315" t="s">
        <v>4368</v>
      </c>
      <c r="P15" s="315" t="s">
        <v>4362</v>
      </c>
    </row>
    <row r="16" spans="1:16">
      <c r="A16" s="320" t="s">
        <v>4369</v>
      </c>
      <c r="B16" s="319">
        <v>46240</v>
      </c>
      <c r="C16" s="315" t="s">
        <v>1892</v>
      </c>
      <c r="D16" s="315" t="s">
        <v>4294</v>
      </c>
      <c r="E16" s="315"/>
      <c r="F16" s="315" t="s">
        <v>2509</v>
      </c>
      <c r="G16" s="315" t="s">
        <v>4291</v>
      </c>
      <c r="H16" s="315" t="s">
        <v>4334</v>
      </c>
      <c r="I16" s="315" t="s">
        <v>4296</v>
      </c>
      <c r="J16" s="315">
        <v>20</v>
      </c>
      <c r="K16" s="315"/>
      <c r="L16" s="315"/>
      <c r="M16" s="315"/>
      <c r="N16" s="315" t="s">
        <v>4343</v>
      </c>
      <c r="O16" s="315" t="s">
        <v>4370</v>
      </c>
      <c r="P16" s="315" t="s">
        <v>4362</v>
      </c>
    </row>
    <row r="17" spans="1:16">
      <c r="A17" s="320" t="s">
        <v>4371</v>
      </c>
      <c r="B17" s="319">
        <v>46241</v>
      </c>
      <c r="C17" s="315" t="s">
        <v>1892</v>
      </c>
      <c r="D17" s="315" t="s">
        <v>4294</v>
      </c>
      <c r="E17" s="315"/>
      <c r="F17" s="315" t="s">
        <v>2261</v>
      </c>
      <c r="G17" s="315" t="s">
        <v>4332</v>
      </c>
      <c r="H17" s="315" t="s">
        <v>4334</v>
      </c>
      <c r="I17" s="315" t="s">
        <v>4297</v>
      </c>
      <c r="J17" s="315">
        <v>15</v>
      </c>
      <c r="K17" s="315"/>
      <c r="L17" s="315"/>
      <c r="M17" s="315"/>
      <c r="N17" s="315" t="s">
        <v>4343</v>
      </c>
      <c r="O17" s="315" t="s">
        <v>4372</v>
      </c>
      <c r="P17" s="315" t="s">
        <v>4362</v>
      </c>
    </row>
    <row r="18" spans="1:16">
      <c r="A18" s="320" t="s">
        <v>4373</v>
      </c>
      <c r="B18" s="319">
        <v>46241</v>
      </c>
      <c r="C18" s="315" t="s">
        <v>1892</v>
      </c>
      <c r="D18" s="315" t="s">
        <v>4294</v>
      </c>
      <c r="E18" s="315"/>
      <c r="F18" s="315" t="s">
        <v>2261</v>
      </c>
      <c r="G18" s="315" t="s">
        <v>4332</v>
      </c>
      <c r="H18" s="315" t="s">
        <v>4295</v>
      </c>
      <c r="I18" s="315" t="s">
        <v>4296</v>
      </c>
      <c r="J18" s="315">
        <v>15</v>
      </c>
      <c r="K18" s="315"/>
      <c r="L18" s="315"/>
      <c r="M18" s="315"/>
      <c r="N18" s="315" t="s">
        <v>4343</v>
      </c>
      <c r="O18" s="315" t="s">
        <v>4374</v>
      </c>
      <c r="P18" s="315" t="s">
        <v>4362</v>
      </c>
    </row>
    <row r="19" spans="1:16">
      <c r="A19" s="320" t="s">
        <v>4375</v>
      </c>
      <c r="B19" s="319">
        <v>46241</v>
      </c>
      <c r="C19" s="315" t="s">
        <v>1892</v>
      </c>
      <c r="D19" s="315" t="s">
        <v>4294</v>
      </c>
      <c r="E19" s="315"/>
      <c r="F19" s="315" t="s">
        <v>2261</v>
      </c>
      <c r="G19" s="315" t="s">
        <v>4332</v>
      </c>
      <c r="H19" s="315" t="s">
        <v>1893</v>
      </c>
      <c r="I19" s="315" t="s">
        <v>4296</v>
      </c>
      <c r="J19" s="315">
        <v>15</v>
      </c>
      <c r="K19" s="315"/>
      <c r="L19" s="315"/>
      <c r="M19" s="315"/>
      <c r="N19" s="315" t="s">
        <v>4343</v>
      </c>
      <c r="O19" s="315" t="s">
        <v>4376</v>
      </c>
      <c r="P19" s="315" t="s">
        <v>4362</v>
      </c>
    </row>
    <row r="20" spans="1:16">
      <c r="A20" s="320" t="s">
        <v>4377</v>
      </c>
      <c r="B20" s="319">
        <v>46240</v>
      </c>
      <c r="C20" s="315" t="s">
        <v>1892</v>
      </c>
      <c r="D20" s="315" t="s">
        <v>4286</v>
      </c>
      <c r="E20" s="315"/>
      <c r="F20" s="315" t="s">
        <v>2261</v>
      </c>
      <c r="G20" s="315" t="s">
        <v>4332</v>
      </c>
      <c r="H20" s="315" t="s">
        <v>4311</v>
      </c>
      <c r="I20" s="315" t="s">
        <v>4333</v>
      </c>
      <c r="J20" s="315">
        <v>20</v>
      </c>
      <c r="K20" s="321">
        <v>0.39583333333333331</v>
      </c>
      <c r="L20" s="315" t="s">
        <v>3057</v>
      </c>
      <c r="M20" s="315"/>
      <c r="N20" s="315" t="s">
        <v>4343</v>
      </c>
      <c r="O20" s="315" t="s">
        <v>4378</v>
      </c>
      <c r="P20" s="315" t="s">
        <v>4362</v>
      </c>
    </row>
    <row r="21" spans="1:16">
      <c r="A21" s="320" t="s">
        <v>4379</v>
      </c>
      <c r="B21" s="319">
        <v>46240</v>
      </c>
      <c r="C21" s="315" t="s">
        <v>1892</v>
      </c>
      <c r="D21" s="315" t="s">
        <v>4286</v>
      </c>
      <c r="E21" s="315"/>
      <c r="F21" s="315" t="s">
        <v>2261</v>
      </c>
      <c r="G21" s="315" t="s">
        <v>4291</v>
      </c>
      <c r="H21" s="315" t="s">
        <v>4311</v>
      </c>
      <c r="I21" s="315" t="s">
        <v>4333</v>
      </c>
      <c r="J21" s="315">
        <v>4</v>
      </c>
      <c r="K21" s="321">
        <v>0.39583333333333331</v>
      </c>
      <c r="L21" s="315" t="s">
        <v>3057</v>
      </c>
      <c r="M21" s="315"/>
      <c r="N21" s="315" t="s">
        <v>4343</v>
      </c>
      <c r="O21" s="315" t="s">
        <v>4380</v>
      </c>
      <c r="P21" s="315" t="s">
        <v>4362</v>
      </c>
    </row>
    <row r="22" spans="1:16">
      <c r="A22" s="320" t="s">
        <v>4381</v>
      </c>
      <c r="B22" s="319">
        <v>46240</v>
      </c>
      <c r="C22" s="315" t="s">
        <v>1892</v>
      </c>
      <c r="D22" s="315" t="s">
        <v>4286</v>
      </c>
      <c r="E22" s="315"/>
      <c r="F22" s="315" t="s">
        <v>4382</v>
      </c>
      <c r="G22" s="315" t="s">
        <v>4332</v>
      </c>
      <c r="H22" s="315" t="s">
        <v>4311</v>
      </c>
      <c r="I22" s="315" t="s">
        <v>4383</v>
      </c>
      <c r="J22" s="315">
        <v>40</v>
      </c>
      <c r="K22" s="321">
        <v>0.41666666666666669</v>
      </c>
      <c r="L22" s="315" t="s">
        <v>3057</v>
      </c>
      <c r="M22" s="315"/>
      <c r="N22" s="315" t="s">
        <v>4343</v>
      </c>
      <c r="O22" s="315" t="s">
        <v>4384</v>
      </c>
      <c r="P22" s="315" t="s">
        <v>4362</v>
      </c>
    </row>
    <row r="23" spans="1:16">
      <c r="A23" s="320" t="s">
        <v>4385</v>
      </c>
      <c r="B23" s="319">
        <v>46240</v>
      </c>
      <c r="C23" s="315" t="s">
        <v>1892</v>
      </c>
      <c r="D23" s="315" t="s">
        <v>4286</v>
      </c>
      <c r="E23" s="315"/>
      <c r="F23" s="315" t="s">
        <v>4382</v>
      </c>
      <c r="G23" s="315" t="s">
        <v>4291</v>
      </c>
      <c r="H23" s="315" t="s">
        <v>4311</v>
      </c>
      <c r="I23" s="315" t="s">
        <v>4383</v>
      </c>
      <c r="J23" s="315">
        <v>10</v>
      </c>
      <c r="K23" s="321">
        <v>0.41666666666666669</v>
      </c>
      <c r="L23" s="315" t="s">
        <v>3057</v>
      </c>
      <c r="M23" s="315"/>
      <c r="N23" s="315" t="s">
        <v>4343</v>
      </c>
      <c r="O23" s="315" t="s">
        <v>4386</v>
      </c>
      <c r="P23" s="315" t="s">
        <v>4362</v>
      </c>
    </row>
    <row r="24" spans="1:16">
      <c r="A24" s="320" t="s">
        <v>4387</v>
      </c>
      <c r="B24" s="319">
        <v>46241</v>
      </c>
      <c r="C24" s="315" t="s">
        <v>1892</v>
      </c>
      <c r="D24" s="315" t="s">
        <v>3409</v>
      </c>
      <c r="E24" s="315" t="s">
        <v>4388</v>
      </c>
      <c r="F24" s="315" t="s">
        <v>2261</v>
      </c>
      <c r="G24" s="315" t="s">
        <v>4332</v>
      </c>
      <c r="H24" s="315"/>
      <c r="I24" s="315"/>
      <c r="J24" s="315">
        <v>15</v>
      </c>
      <c r="K24" s="321"/>
      <c r="L24" s="315"/>
      <c r="M24" s="315" t="s">
        <v>4389</v>
      </c>
      <c r="N24" s="315" t="s">
        <v>4343</v>
      </c>
      <c r="O24" s="315" t="s">
        <v>4390</v>
      </c>
      <c r="P24" s="315" t="s">
        <v>4362</v>
      </c>
    </row>
    <row r="25" spans="1:16">
      <c r="A25" s="320" t="s">
        <v>4391</v>
      </c>
      <c r="B25" s="319">
        <v>46241</v>
      </c>
      <c r="C25" s="315" t="s">
        <v>1892</v>
      </c>
      <c r="D25" s="315" t="s">
        <v>3409</v>
      </c>
      <c r="E25" s="315" t="s">
        <v>4388</v>
      </c>
      <c r="F25" s="315" t="s">
        <v>2268</v>
      </c>
      <c r="G25" s="315" t="s">
        <v>4332</v>
      </c>
      <c r="H25" s="315"/>
      <c r="I25" s="315"/>
      <c r="J25" s="315">
        <v>15</v>
      </c>
      <c r="K25" s="321"/>
      <c r="L25" s="315"/>
      <c r="M25" s="315" t="s">
        <v>4389</v>
      </c>
      <c r="N25" s="315" t="s">
        <v>4343</v>
      </c>
      <c r="O25" s="315" t="s">
        <v>4392</v>
      </c>
      <c r="P25" s="315" t="s">
        <v>4362</v>
      </c>
    </row>
    <row r="26" spans="1:16">
      <c r="A26" s="320" t="s">
        <v>4393</v>
      </c>
      <c r="B26" s="319">
        <v>46241</v>
      </c>
      <c r="C26" s="315" t="s">
        <v>1892</v>
      </c>
      <c r="D26" s="315" t="s">
        <v>3409</v>
      </c>
      <c r="E26" s="315" t="s">
        <v>4388</v>
      </c>
      <c r="F26" s="315" t="s">
        <v>2265</v>
      </c>
      <c r="G26" s="315" t="s">
        <v>4332</v>
      </c>
      <c r="H26" s="315"/>
      <c r="I26" s="315"/>
      <c r="J26" s="315">
        <v>15</v>
      </c>
      <c r="K26" s="321"/>
      <c r="L26" s="315"/>
      <c r="M26" s="315" t="s">
        <v>4389</v>
      </c>
      <c r="N26" s="315" t="s">
        <v>4343</v>
      </c>
      <c r="O26" s="315" t="s">
        <v>4394</v>
      </c>
      <c r="P26" s="315" t="s">
        <v>4362</v>
      </c>
    </row>
    <row r="27" spans="1:16">
      <c r="A27" s="320" t="s">
        <v>4395</v>
      </c>
      <c r="B27" s="319">
        <v>46241</v>
      </c>
      <c r="C27" s="315" t="s">
        <v>1892</v>
      </c>
      <c r="D27" s="315" t="s">
        <v>3409</v>
      </c>
      <c r="E27" s="315" t="s">
        <v>4388</v>
      </c>
      <c r="F27" s="315" t="s">
        <v>4013</v>
      </c>
      <c r="G27" s="315" t="s">
        <v>4332</v>
      </c>
      <c r="H27" s="315"/>
      <c r="I27" s="315"/>
      <c r="J27" s="315">
        <v>15</v>
      </c>
      <c r="K27" s="321"/>
      <c r="L27" s="315"/>
      <c r="M27" s="315" t="s">
        <v>4389</v>
      </c>
      <c r="N27" s="315" t="s">
        <v>4343</v>
      </c>
      <c r="O27" s="315" t="s">
        <v>4396</v>
      </c>
      <c r="P27" s="315" t="s">
        <v>4362</v>
      </c>
    </row>
    <row r="28" spans="1:16">
      <c r="A28" s="320" t="s">
        <v>4397</v>
      </c>
      <c r="B28" s="319">
        <v>46241</v>
      </c>
      <c r="C28" s="315" t="s">
        <v>1892</v>
      </c>
      <c r="D28" s="315" t="s">
        <v>3409</v>
      </c>
      <c r="E28" s="315" t="s">
        <v>4388</v>
      </c>
      <c r="F28" s="315" t="s">
        <v>2509</v>
      </c>
      <c r="G28" s="315" t="s">
        <v>4291</v>
      </c>
      <c r="H28" s="315"/>
      <c r="I28" s="315"/>
      <c r="J28" s="315">
        <v>15</v>
      </c>
      <c r="K28" s="321"/>
      <c r="L28" s="315"/>
      <c r="M28" s="315" t="s">
        <v>4389</v>
      </c>
      <c r="N28" s="315" t="s">
        <v>4343</v>
      </c>
      <c r="O28" s="315" t="s">
        <v>4398</v>
      </c>
      <c r="P28" s="315" t="s">
        <v>4362</v>
      </c>
    </row>
    <row r="29" spans="1:16">
      <c r="A29" s="320" t="s">
        <v>4403</v>
      </c>
      <c r="B29" s="319">
        <v>46241</v>
      </c>
      <c r="C29" s="315" t="s">
        <v>1892</v>
      </c>
      <c r="D29" s="315" t="s">
        <v>4294</v>
      </c>
      <c r="E29" s="315"/>
      <c r="F29" s="315" t="s">
        <v>2509</v>
      </c>
      <c r="G29" s="315" t="s">
        <v>4291</v>
      </c>
      <c r="H29" s="315" t="s">
        <v>1893</v>
      </c>
      <c r="I29" s="315" t="s">
        <v>4297</v>
      </c>
      <c r="J29" s="315"/>
      <c r="K29" s="321"/>
      <c r="L29" s="315"/>
      <c r="M29" s="315"/>
      <c r="N29" s="315" t="s">
        <v>4343</v>
      </c>
      <c r="O29" s="315" t="s">
        <v>4404</v>
      </c>
      <c r="P29" s="315" t="s">
        <v>4362</v>
      </c>
    </row>
    <row r="31" spans="1:16">
      <c r="A31" s="316" t="s">
        <v>4335</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13" t="s">
        <v>4299</v>
      </c>
    </row>
    <row r="2" spans="1:13" ht="52">
      <c r="A2" s="314" t="s">
        <v>2116</v>
      </c>
      <c r="B2" s="314" t="s">
        <v>4300</v>
      </c>
      <c r="C2" s="314" t="s">
        <v>6</v>
      </c>
      <c r="D2" s="314" t="s">
        <v>4301</v>
      </c>
      <c r="E2" s="314" t="s">
        <v>4302</v>
      </c>
      <c r="F2" s="314" t="s">
        <v>4303</v>
      </c>
      <c r="G2" s="314" t="s">
        <v>4304</v>
      </c>
      <c r="H2" s="314" t="s">
        <v>4305</v>
      </c>
      <c r="I2" s="314" t="s">
        <v>4306</v>
      </c>
      <c r="J2" s="314" t="s">
        <v>4307</v>
      </c>
      <c r="K2" s="314" t="s">
        <v>4287</v>
      </c>
      <c r="L2" s="314" t="s">
        <v>4288</v>
      </c>
      <c r="M2" s="314" t="s">
        <v>4400</v>
      </c>
    </row>
    <row r="3" spans="1:13">
      <c r="A3" s="315" t="s">
        <v>4308</v>
      </c>
      <c r="B3" s="315" t="s">
        <v>4309</v>
      </c>
      <c r="C3" s="315" t="s">
        <v>4310</v>
      </c>
      <c r="D3" s="315">
        <v>320</v>
      </c>
      <c r="E3" s="315">
        <v>12</v>
      </c>
      <c r="F3" s="315">
        <v>5</v>
      </c>
      <c r="G3" s="315">
        <v>34</v>
      </c>
      <c r="H3" s="315">
        <v>16</v>
      </c>
      <c r="I3" s="315">
        <v>1.1000000000000001</v>
      </c>
      <c r="J3" s="315" t="s">
        <v>4311</v>
      </c>
      <c r="K3" s="315" t="s">
        <v>4289</v>
      </c>
      <c r="L3" s="315" t="s">
        <v>3063</v>
      </c>
      <c r="M3" s="315" t="s">
        <v>4401</v>
      </c>
    </row>
    <row r="4" spans="1:13">
      <c r="A4" s="315" t="s">
        <v>4312</v>
      </c>
      <c r="B4" s="315" t="s">
        <v>4313</v>
      </c>
      <c r="C4" s="315" t="s">
        <v>4314</v>
      </c>
      <c r="D4" s="315"/>
      <c r="E4" s="315"/>
      <c r="F4" s="315"/>
      <c r="G4" s="315"/>
      <c r="H4" s="315"/>
      <c r="I4" s="315"/>
      <c r="J4" s="315" t="s">
        <v>4311</v>
      </c>
      <c r="K4" s="315" t="s">
        <v>4289</v>
      </c>
      <c r="L4" s="315" t="s">
        <v>3063</v>
      </c>
      <c r="M4" s="315" t="s">
        <v>4401</v>
      </c>
    </row>
    <row r="5" spans="1:13">
      <c r="A5" s="315" t="s">
        <v>4315</v>
      </c>
      <c r="B5" s="315" t="s">
        <v>4316</v>
      </c>
      <c r="C5" s="315"/>
      <c r="D5" s="315"/>
      <c r="E5" s="315"/>
      <c r="F5" s="315"/>
      <c r="G5" s="315"/>
      <c r="H5" s="315"/>
      <c r="I5" s="315"/>
      <c r="J5" s="315" t="s">
        <v>4311</v>
      </c>
      <c r="K5" s="315" t="s">
        <v>4289</v>
      </c>
      <c r="L5" s="315" t="s">
        <v>3063</v>
      </c>
      <c r="M5" s="315"/>
    </row>
    <row r="6" spans="1:13">
      <c r="A6" s="315" t="s">
        <v>4317</v>
      </c>
      <c r="B6" s="315" t="s">
        <v>4318</v>
      </c>
      <c r="C6" s="315"/>
      <c r="D6" s="315"/>
      <c r="E6" s="315"/>
      <c r="F6" s="315"/>
      <c r="G6" s="315"/>
      <c r="H6" s="315"/>
      <c r="I6" s="315"/>
      <c r="J6" s="315" t="s">
        <v>4311</v>
      </c>
      <c r="K6" s="315" t="s">
        <v>4289</v>
      </c>
      <c r="L6" s="315" t="s">
        <v>3063</v>
      </c>
      <c r="M6" s="315"/>
    </row>
    <row r="7" spans="1:13">
      <c r="A7" s="315" t="s">
        <v>4290</v>
      </c>
      <c r="B7" s="315" t="s">
        <v>4319</v>
      </c>
      <c r="C7" s="315"/>
      <c r="D7" s="315"/>
      <c r="E7" s="315"/>
      <c r="F7" s="315"/>
      <c r="G7" s="315"/>
      <c r="H7" s="315"/>
      <c r="I7" s="315"/>
      <c r="J7" s="315" t="s">
        <v>4320</v>
      </c>
      <c r="K7" s="315" t="s">
        <v>4291</v>
      </c>
      <c r="L7" s="315" t="s">
        <v>3063</v>
      </c>
    </row>
    <row r="8" spans="1:13">
      <c r="A8" s="315" t="s">
        <v>4321</v>
      </c>
      <c r="B8" s="315" t="s">
        <v>4322</v>
      </c>
      <c r="C8" s="315"/>
      <c r="D8" s="315"/>
      <c r="E8" s="315"/>
      <c r="F8" s="315"/>
      <c r="G8" s="315"/>
      <c r="H8" s="315"/>
      <c r="I8" s="315"/>
      <c r="J8" s="315" t="s">
        <v>4320</v>
      </c>
      <c r="K8" s="315" t="s">
        <v>4291</v>
      </c>
      <c r="L8" s="315" t="s">
        <v>3063</v>
      </c>
    </row>
    <row r="9" spans="1:13">
      <c r="A9" s="315" t="s">
        <v>4323</v>
      </c>
      <c r="B9" s="315" t="s">
        <v>4324</v>
      </c>
      <c r="C9" s="315"/>
      <c r="D9" s="315"/>
      <c r="E9" s="315"/>
      <c r="F9" s="315"/>
      <c r="G9" s="315"/>
      <c r="H9" s="315"/>
      <c r="I9" s="315"/>
      <c r="J9" s="315" t="s">
        <v>4295</v>
      </c>
      <c r="K9" s="315" t="s">
        <v>4291</v>
      </c>
      <c r="L9" s="315" t="s">
        <v>3063</v>
      </c>
    </row>
    <row r="10" spans="1:13">
      <c r="A10" s="315" t="s">
        <v>4325</v>
      </c>
      <c r="B10" s="315" t="s">
        <v>4324</v>
      </c>
      <c r="C10" s="315"/>
      <c r="D10" s="315"/>
      <c r="E10" s="315"/>
      <c r="F10" s="315"/>
      <c r="G10" s="315"/>
      <c r="H10" s="315"/>
      <c r="I10" s="315"/>
      <c r="J10" s="315" t="s">
        <v>4295</v>
      </c>
      <c r="K10" s="315" t="s">
        <v>4291</v>
      </c>
      <c r="L10" s="315" t="s">
        <v>3063</v>
      </c>
    </row>
    <row r="12" spans="1:13">
      <c r="A12" s="316" t="s">
        <v>4402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3" t="s">
        <v>4048</v>
      </c>
      <c r="B1" s="333"/>
    </row>
    <row r="2" spans="1:2" ht="30" customHeight="1">
      <c r="A2" s="334" t="s">
        <v>4049</v>
      </c>
      <c r="B2" s="334"/>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35" t="s">
        <v>4062</v>
      </c>
      <c r="B10" s="335"/>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36" t="s">
        <v>4073</v>
      </c>
      <c r="B17" s="336"/>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32" t="s">
        <v>4084</v>
      </c>
      <c r="B24" s="332"/>
    </row>
    <row r="25" spans="1:2" ht="279.75" customHeight="1">
      <c r="A25" s="54" t="s">
        <v>4085</v>
      </c>
      <c r="B25" s="55" t="s">
        <v>4086</v>
      </c>
    </row>
    <row r="27" spans="1:2" ht="30" customHeight="1">
      <c r="A27" s="332" t="s">
        <v>4087</v>
      </c>
      <c r="B27" s="332"/>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A3" sqref="A3"/>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3" activePane="bottomLeft" state="frozen"/>
      <selection pane="bottomLeft" activeCell="C159" sqref="C159"/>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4179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4179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v>70</v>
      </c>
      <c r="I111" s="182" t="s">
        <v>4179</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4179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4179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v>170</v>
      </c>
      <c r="F129" s="182"/>
      <c r="G129" s="182"/>
      <c r="H129" s="182"/>
      <c r="I129" s="182" t="s">
        <v>4179</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v>70</v>
      </c>
      <c r="I131" s="182" t="s">
        <v>4179</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37" t="s">
        <v>4255</v>
      </c>
      <c r="B1" s="338"/>
      <c r="C1" s="338"/>
      <c r="D1" s="338"/>
      <c r="E1" s="338"/>
      <c r="F1" s="338"/>
      <c r="G1" s="338"/>
      <c r="H1" s="338"/>
      <c r="I1" s="338"/>
      <c r="J1" s="338"/>
    </row>
    <row r="2" spans="1:10" ht="34" customHeight="1">
      <c r="A2" s="305" t="s">
        <v>1826</v>
      </c>
      <c r="B2" s="305" t="s">
        <v>4256</v>
      </c>
      <c r="C2" s="305" t="s">
        <v>4220</v>
      </c>
      <c r="D2" s="305" t="s">
        <v>4195</v>
      </c>
      <c r="E2" s="305" t="s">
        <v>4221</v>
      </c>
      <c r="F2" s="305" t="s">
        <v>4196</v>
      </c>
      <c r="G2" s="305" t="s">
        <v>4197</v>
      </c>
      <c r="H2" s="305" t="s">
        <v>4198</v>
      </c>
      <c r="I2" s="305" t="s">
        <v>1452</v>
      </c>
      <c r="J2" s="305" t="s">
        <v>4257</v>
      </c>
    </row>
    <row r="3" spans="1:10" ht="30" hidden="1" customHeight="1">
      <c r="A3" s="306">
        <v>46188</v>
      </c>
      <c r="B3" s="307" t="s">
        <v>4199</v>
      </c>
      <c r="C3" s="308"/>
      <c r="D3" s="308"/>
      <c r="E3" s="308"/>
      <c r="F3" s="308"/>
      <c r="G3" s="309" t="b">
        <v>1</v>
      </c>
      <c r="H3" s="309" t="b">
        <v>1</v>
      </c>
      <c r="I3" s="308"/>
      <c r="J3" s="308"/>
    </row>
    <row r="4" spans="1:10" ht="30" hidden="1" customHeight="1">
      <c r="A4" s="306">
        <v>46189</v>
      </c>
      <c r="B4" s="307" t="s">
        <v>4200</v>
      </c>
      <c r="C4" s="308"/>
      <c r="D4" s="308"/>
      <c r="E4" s="308"/>
      <c r="F4" s="308"/>
      <c r="G4" s="309" t="b">
        <v>1</v>
      </c>
      <c r="H4" s="309" t="b">
        <v>1</v>
      </c>
      <c r="I4" s="308"/>
      <c r="J4" s="308"/>
    </row>
    <row r="5" spans="1:10" ht="30" hidden="1" customHeight="1">
      <c r="A5" s="306">
        <v>46191</v>
      </c>
      <c r="B5" s="307" t="s">
        <v>4201</v>
      </c>
      <c r="C5" s="308"/>
      <c r="D5" s="308"/>
      <c r="E5" s="308"/>
      <c r="F5" s="308"/>
      <c r="G5" s="309" t="b">
        <v>1</v>
      </c>
      <c r="H5" s="309" t="b">
        <v>1</v>
      </c>
      <c r="I5" s="308"/>
      <c r="J5" s="308"/>
    </row>
    <row r="6" spans="1:10" ht="30" hidden="1" customHeight="1">
      <c r="A6" s="306">
        <v>46192</v>
      </c>
      <c r="B6" s="307" t="s">
        <v>4202</v>
      </c>
      <c r="C6" s="308"/>
      <c r="D6" s="308"/>
      <c r="E6" s="308"/>
      <c r="F6" s="308"/>
      <c r="G6" s="309" t="b">
        <v>1</v>
      </c>
      <c r="H6" s="309" t="b">
        <v>1</v>
      </c>
      <c r="I6" s="308"/>
      <c r="J6" s="308"/>
    </row>
    <row r="7" spans="1:10" ht="30" hidden="1" customHeight="1">
      <c r="A7" s="306">
        <v>46195</v>
      </c>
      <c r="B7" s="307" t="s">
        <v>4203</v>
      </c>
      <c r="C7" s="308"/>
      <c r="D7" s="308"/>
      <c r="E7" s="308"/>
      <c r="F7" s="308"/>
      <c r="G7" s="309" t="b">
        <v>1</v>
      </c>
      <c r="H7" s="309" t="b">
        <v>1</v>
      </c>
      <c r="I7" s="308"/>
      <c r="J7" s="308"/>
    </row>
    <row r="8" spans="1:10" ht="30" hidden="1" customHeight="1">
      <c r="A8" s="306">
        <v>46196</v>
      </c>
      <c r="B8" s="307" t="s">
        <v>4204</v>
      </c>
      <c r="C8" s="308"/>
      <c r="D8" s="308"/>
      <c r="E8" s="308"/>
      <c r="F8" s="308"/>
      <c r="G8" s="309" t="b">
        <v>1</v>
      </c>
      <c r="H8" s="309" t="b">
        <v>1</v>
      </c>
      <c r="I8" s="308"/>
      <c r="J8" s="308"/>
    </row>
    <row r="9" spans="1:10" ht="30" hidden="1" customHeight="1">
      <c r="A9" s="306">
        <v>46197</v>
      </c>
      <c r="B9" s="307" t="s">
        <v>4205</v>
      </c>
      <c r="C9" s="308"/>
      <c r="D9" s="308"/>
      <c r="E9" s="308"/>
      <c r="F9" s="308"/>
      <c r="G9" s="309" t="b">
        <v>1</v>
      </c>
      <c r="H9" s="309" t="b">
        <v>1</v>
      </c>
      <c r="I9" s="308"/>
      <c r="J9" s="308"/>
    </row>
    <row r="10" spans="1:10" ht="30" hidden="1" customHeight="1">
      <c r="A10" s="306">
        <v>46198</v>
      </c>
      <c r="B10" s="307" t="s">
        <v>4206</v>
      </c>
      <c r="C10" s="308"/>
      <c r="D10" s="308"/>
      <c r="E10" s="308"/>
      <c r="F10" s="308"/>
      <c r="G10" s="309" t="b">
        <v>1</v>
      </c>
      <c r="H10" s="309" t="b">
        <v>1</v>
      </c>
      <c r="I10" s="308"/>
      <c r="J10" s="308"/>
    </row>
    <row r="11" spans="1:10" ht="30" hidden="1" customHeight="1">
      <c r="A11" s="306">
        <v>46199</v>
      </c>
      <c r="B11" s="307" t="s">
        <v>4207</v>
      </c>
      <c r="C11" s="308"/>
      <c r="D11" s="308"/>
      <c r="E11" s="308"/>
      <c r="F11" s="308"/>
      <c r="G11" s="309" t="b">
        <v>1</v>
      </c>
      <c r="H11" s="309" t="b">
        <v>1</v>
      </c>
      <c r="I11" s="308"/>
      <c r="J11" s="308"/>
    </row>
    <row r="12" spans="1:10" ht="30" hidden="1" customHeight="1">
      <c r="A12" s="306">
        <v>46202</v>
      </c>
      <c r="B12" s="307" t="s">
        <v>4258</v>
      </c>
      <c r="C12" s="308"/>
      <c r="D12" s="308"/>
      <c r="E12" s="308"/>
      <c r="F12" s="308"/>
      <c r="G12" s="309" t="b">
        <v>0</v>
      </c>
      <c r="H12" s="309" t="b">
        <v>0</v>
      </c>
      <c r="I12" s="308"/>
      <c r="J12" s="308"/>
    </row>
    <row r="13" spans="1:10" ht="30" hidden="1" customHeight="1">
      <c r="A13" s="306">
        <v>46203</v>
      </c>
      <c r="B13" s="307" t="s">
        <v>4208</v>
      </c>
      <c r="C13" s="308" t="s">
        <v>802</v>
      </c>
      <c r="D13" s="308"/>
      <c r="E13" s="308"/>
      <c r="F13" s="308"/>
      <c r="G13" s="309" t="b">
        <v>0</v>
      </c>
      <c r="H13" s="309" t="b">
        <v>0</v>
      </c>
      <c r="I13" s="308"/>
      <c r="J13" s="308"/>
    </row>
    <row r="14" spans="1:10" ht="30" hidden="1" customHeight="1">
      <c r="A14" s="306">
        <v>46204</v>
      </c>
      <c r="B14" s="307" t="s">
        <v>4209</v>
      </c>
      <c r="C14" s="308" t="s">
        <v>799</v>
      </c>
      <c r="D14" s="308"/>
      <c r="E14" s="308"/>
      <c r="F14" s="308"/>
      <c r="G14" s="309" t="b">
        <v>1</v>
      </c>
      <c r="H14" s="309" t="b">
        <v>1</v>
      </c>
      <c r="I14" s="308"/>
      <c r="J14" s="308"/>
    </row>
    <row r="15" spans="1:10" ht="30" hidden="1" customHeight="1">
      <c r="A15" s="306">
        <v>46205</v>
      </c>
      <c r="B15" s="307" t="s">
        <v>4210</v>
      </c>
      <c r="C15" s="308" t="s">
        <v>801</v>
      </c>
      <c r="D15" s="308"/>
      <c r="E15" s="308"/>
      <c r="F15" s="308"/>
      <c r="G15" s="309" t="b">
        <v>1</v>
      </c>
      <c r="H15" s="309" t="b">
        <v>1</v>
      </c>
      <c r="I15" s="308"/>
      <c r="J15" s="308"/>
    </row>
    <row r="16" spans="1:10" ht="30" hidden="1" customHeight="1">
      <c r="A16" s="306">
        <v>46206</v>
      </c>
      <c r="B16" s="307" t="s">
        <v>4211</v>
      </c>
      <c r="C16" s="308" t="s">
        <v>4216</v>
      </c>
      <c r="D16" s="308"/>
      <c r="E16" s="308"/>
      <c r="F16" s="308"/>
      <c r="G16" s="309" t="b">
        <v>1</v>
      </c>
      <c r="H16" s="309" t="b">
        <v>1</v>
      </c>
      <c r="I16" s="308"/>
      <c r="J16" s="308"/>
    </row>
    <row r="17" spans="1:10" ht="30" hidden="1" customHeight="1">
      <c r="A17" s="306">
        <v>46209</v>
      </c>
      <c r="B17" s="307" t="s">
        <v>4259</v>
      </c>
      <c r="C17" s="308" t="s">
        <v>805</v>
      </c>
      <c r="D17" s="308"/>
      <c r="E17" s="308"/>
      <c r="F17" s="308"/>
      <c r="G17" s="309" t="b">
        <v>1</v>
      </c>
      <c r="H17" s="309" t="b">
        <v>1</v>
      </c>
      <c r="I17" s="308"/>
      <c r="J17" s="308"/>
    </row>
    <row r="18" spans="1:10" ht="30" hidden="1" customHeight="1">
      <c r="A18" s="306">
        <v>46210</v>
      </c>
      <c r="B18" s="307" t="s">
        <v>4212</v>
      </c>
      <c r="C18" s="308" t="s">
        <v>802</v>
      </c>
      <c r="D18" s="308"/>
      <c r="E18" s="308"/>
      <c r="F18" s="308"/>
      <c r="G18" s="309" t="b">
        <v>1</v>
      </c>
      <c r="H18" s="309" t="b">
        <v>1</v>
      </c>
      <c r="I18" s="308"/>
      <c r="J18" s="308"/>
    </row>
    <row r="19" spans="1:10" ht="30" hidden="1" customHeight="1">
      <c r="A19" s="306">
        <v>46211</v>
      </c>
      <c r="B19" s="307" t="s">
        <v>4213</v>
      </c>
      <c r="C19" s="308" t="s">
        <v>799</v>
      </c>
      <c r="D19" s="308"/>
      <c r="E19" s="308"/>
      <c r="F19" s="308"/>
      <c r="G19" s="309" t="b">
        <v>1</v>
      </c>
      <c r="H19" s="309" t="b">
        <v>1</v>
      </c>
      <c r="I19" s="308"/>
      <c r="J19" s="308"/>
    </row>
    <row r="20" spans="1:10" ht="30" hidden="1" customHeight="1">
      <c r="A20" s="306">
        <v>46212</v>
      </c>
      <c r="B20" s="307" t="s">
        <v>4214</v>
      </c>
      <c r="C20" s="308" t="s">
        <v>801</v>
      </c>
      <c r="D20" s="308"/>
      <c r="E20" s="308"/>
      <c r="F20" s="308"/>
      <c r="G20" s="309" t="b">
        <v>1</v>
      </c>
      <c r="H20" s="309" t="b">
        <v>1</v>
      </c>
      <c r="I20" s="308"/>
      <c r="J20" s="308"/>
    </row>
    <row r="21" spans="1:10" ht="30" hidden="1" customHeight="1">
      <c r="A21" s="306">
        <v>46213</v>
      </c>
      <c r="B21" s="307" t="s">
        <v>4215</v>
      </c>
      <c r="C21" s="308" t="s">
        <v>804</v>
      </c>
      <c r="D21" s="308"/>
      <c r="E21" s="308"/>
      <c r="F21" s="308"/>
      <c r="G21" s="309" t="b">
        <v>1</v>
      </c>
      <c r="H21" s="309" t="b">
        <v>1</v>
      </c>
      <c r="I21" s="308"/>
      <c r="J21" s="308"/>
    </row>
    <row r="22" spans="1:10" ht="30" hidden="1" customHeight="1">
      <c r="A22" s="306">
        <v>46216</v>
      </c>
      <c r="B22" s="307" t="s">
        <v>4260</v>
      </c>
      <c r="C22" s="308" t="s">
        <v>4216</v>
      </c>
      <c r="D22" s="308"/>
      <c r="E22" s="308"/>
      <c r="F22" s="308"/>
      <c r="G22" s="309" t="b">
        <v>1</v>
      </c>
      <c r="H22" s="309" t="b">
        <v>1</v>
      </c>
      <c r="I22" s="308"/>
      <c r="J22" s="308"/>
    </row>
    <row r="23" spans="1:10" ht="30" hidden="1" customHeight="1">
      <c r="A23" s="306">
        <v>46217</v>
      </c>
      <c r="B23" s="307" t="s">
        <v>4217</v>
      </c>
      <c r="C23" s="308" t="s">
        <v>799</v>
      </c>
      <c r="D23" s="308"/>
      <c r="E23" s="308"/>
      <c r="F23" s="308"/>
      <c r="G23" s="309" t="b">
        <v>1</v>
      </c>
      <c r="H23" s="309" t="b">
        <v>1</v>
      </c>
      <c r="I23" s="308"/>
      <c r="J23" s="308"/>
    </row>
    <row r="24" spans="1:10" ht="30" hidden="1" customHeight="1">
      <c r="A24" s="306">
        <v>46218</v>
      </c>
      <c r="B24" s="307" t="s">
        <v>4218</v>
      </c>
      <c r="C24" s="308" t="s">
        <v>802</v>
      </c>
      <c r="D24" s="308"/>
      <c r="E24" s="308"/>
      <c r="F24" s="308"/>
      <c r="G24" s="309" t="b">
        <v>1</v>
      </c>
      <c r="H24" s="309" t="b">
        <v>1</v>
      </c>
      <c r="I24" s="308"/>
      <c r="J24" s="308"/>
    </row>
    <row r="25" spans="1:10" ht="30" hidden="1" customHeight="1">
      <c r="A25" s="306">
        <v>46219</v>
      </c>
      <c r="B25" s="307" t="s">
        <v>4219</v>
      </c>
      <c r="C25" s="308" t="s">
        <v>801</v>
      </c>
      <c r="D25" s="308"/>
      <c r="E25" s="308"/>
      <c r="F25" s="308"/>
      <c r="G25" s="309" t="b">
        <v>1</v>
      </c>
      <c r="H25" s="309" t="b">
        <v>1</v>
      </c>
      <c r="I25" s="308"/>
      <c r="J25" s="308"/>
    </row>
    <row r="26" spans="1:10" ht="30" hidden="1" customHeight="1">
      <c r="A26" s="306">
        <v>46220</v>
      </c>
      <c r="B26" s="307" t="s">
        <v>4261</v>
      </c>
      <c r="C26" s="308" t="s">
        <v>805</v>
      </c>
      <c r="D26" s="308"/>
      <c r="E26" s="308"/>
      <c r="F26" s="308"/>
      <c r="G26" s="309" t="b">
        <v>1</v>
      </c>
      <c r="H26" s="309" t="b">
        <v>1</v>
      </c>
      <c r="I26" s="308"/>
      <c r="J26" s="308"/>
    </row>
    <row r="27" spans="1:10" ht="30" customHeight="1">
      <c r="A27" s="306">
        <v>46238</v>
      </c>
      <c r="B27" s="307" t="s">
        <v>4222</v>
      </c>
      <c r="C27" s="308" t="s">
        <v>4262</v>
      </c>
      <c r="D27" s="308" t="s">
        <v>4223</v>
      </c>
      <c r="E27" s="308">
        <v>31.07</v>
      </c>
      <c r="F27" s="308">
        <v>31.07</v>
      </c>
      <c r="G27" s="309" t="b">
        <v>1</v>
      </c>
      <c r="H27" s="309" t="b">
        <v>1</v>
      </c>
      <c r="I27" s="308" t="s">
        <v>1093</v>
      </c>
      <c r="J27" s="308" t="s">
        <v>1096</v>
      </c>
    </row>
    <row r="28" spans="1:10" ht="30" customHeight="1">
      <c r="A28" s="306">
        <v>46239</v>
      </c>
      <c r="B28" s="307" t="s">
        <v>4224</v>
      </c>
      <c r="C28" s="308" t="s">
        <v>802</v>
      </c>
      <c r="D28" s="308">
        <v>4.08</v>
      </c>
      <c r="E28" s="308" t="s">
        <v>4225</v>
      </c>
      <c r="F28" s="308" t="s">
        <v>4226</v>
      </c>
      <c r="G28" s="309" t="b">
        <v>1</v>
      </c>
      <c r="H28" s="309" t="b">
        <v>1</v>
      </c>
      <c r="I28" s="308" t="s">
        <v>4263</v>
      </c>
      <c r="J28" s="308" t="s">
        <v>4227</v>
      </c>
    </row>
    <row r="29" spans="1:10" ht="30" customHeight="1">
      <c r="A29" s="306">
        <v>46240</v>
      </c>
      <c r="B29" s="307" t="s">
        <v>4228</v>
      </c>
      <c r="C29" s="308" t="s">
        <v>799</v>
      </c>
      <c r="D29" s="308" t="s">
        <v>4229</v>
      </c>
      <c r="E29" s="308" t="s">
        <v>4225</v>
      </c>
      <c r="F29" s="308">
        <v>5.08</v>
      </c>
      <c r="G29" s="309" t="b">
        <v>0</v>
      </c>
      <c r="H29" s="309" t="b">
        <v>1</v>
      </c>
      <c r="I29" s="308" t="s">
        <v>4264</v>
      </c>
      <c r="J29" s="308" t="s">
        <v>4230</v>
      </c>
    </row>
    <row r="30" spans="1:10" ht="30" customHeight="1">
      <c r="A30" s="306">
        <v>46241</v>
      </c>
      <c r="B30" s="307" t="s">
        <v>4231</v>
      </c>
      <c r="C30" s="308" t="s">
        <v>801</v>
      </c>
      <c r="D30" s="308">
        <v>6.08</v>
      </c>
      <c r="E30" s="308" t="s">
        <v>4225</v>
      </c>
      <c r="F30" s="308">
        <v>6.08</v>
      </c>
      <c r="G30" s="309" t="b">
        <v>1</v>
      </c>
      <c r="H30" s="309" t="b">
        <v>1</v>
      </c>
      <c r="I30" s="308" t="s">
        <v>4265</v>
      </c>
      <c r="J30" s="308" t="s">
        <v>4232</v>
      </c>
    </row>
    <row r="31" spans="1:10" ht="30" customHeight="1">
      <c r="A31" s="306">
        <v>46244</v>
      </c>
      <c r="B31" s="307" t="s">
        <v>4233</v>
      </c>
      <c r="C31" s="308" t="s">
        <v>805</v>
      </c>
      <c r="D31" s="308">
        <v>7.08</v>
      </c>
      <c r="E31" s="308" t="s">
        <v>4225</v>
      </c>
      <c r="F31" s="308">
        <v>7.08</v>
      </c>
      <c r="G31" s="309" t="b">
        <v>1</v>
      </c>
      <c r="H31" s="309" t="b">
        <v>1</v>
      </c>
      <c r="I31" s="308" t="s">
        <v>4266</v>
      </c>
      <c r="J31" s="308" t="s">
        <v>4234</v>
      </c>
    </row>
    <row r="32" spans="1:10" ht="30" customHeight="1">
      <c r="A32" s="306">
        <v>46245</v>
      </c>
      <c r="B32" s="307" t="s">
        <v>4235</v>
      </c>
      <c r="C32" s="308" t="s">
        <v>802</v>
      </c>
      <c r="D32" s="308">
        <v>10.08</v>
      </c>
      <c r="E32" s="308" t="s">
        <v>4225</v>
      </c>
      <c r="F32" s="308">
        <v>10.08</v>
      </c>
      <c r="G32" s="309" t="b">
        <v>1</v>
      </c>
      <c r="H32" s="309" t="b">
        <v>1</v>
      </c>
      <c r="I32" s="308" t="s">
        <v>4267</v>
      </c>
      <c r="J32" s="308" t="s">
        <v>4236</v>
      </c>
    </row>
    <row r="33" spans="1:10" ht="30" customHeight="1">
      <c r="A33" s="306">
        <v>46246</v>
      </c>
      <c r="B33" s="307" t="s">
        <v>4218</v>
      </c>
      <c r="C33" s="308" t="s">
        <v>799</v>
      </c>
      <c r="D33" s="308" t="s">
        <v>4268</v>
      </c>
      <c r="E33" s="308" t="s">
        <v>4225</v>
      </c>
      <c r="F33" s="308">
        <v>11.08</v>
      </c>
      <c r="G33" s="309" t="b">
        <v>1</v>
      </c>
      <c r="H33" s="309" t="b">
        <v>1</v>
      </c>
      <c r="I33" s="308" t="s">
        <v>4269</v>
      </c>
      <c r="J33" s="308" t="s">
        <v>4237</v>
      </c>
    </row>
    <row r="34" spans="1:10" ht="30" customHeight="1">
      <c r="A34" s="306">
        <v>46247</v>
      </c>
      <c r="B34" s="307" t="s">
        <v>4238</v>
      </c>
      <c r="C34" s="308" t="s">
        <v>801</v>
      </c>
      <c r="D34" s="308">
        <v>12.08</v>
      </c>
      <c r="E34" s="308" t="s">
        <v>4225</v>
      </c>
      <c r="F34" s="308">
        <v>12.08</v>
      </c>
      <c r="G34" s="309" t="b">
        <v>1</v>
      </c>
      <c r="H34" s="309" t="b">
        <v>1</v>
      </c>
      <c r="I34" s="308" t="s">
        <v>4270</v>
      </c>
      <c r="J34" s="308" t="s">
        <v>4239</v>
      </c>
    </row>
    <row r="35" spans="1:10" ht="30" customHeight="1">
      <c r="A35" s="306">
        <v>46248</v>
      </c>
      <c r="B35" s="307" t="s">
        <v>4240</v>
      </c>
      <c r="C35" s="308" t="s">
        <v>804</v>
      </c>
      <c r="D35" s="308">
        <v>13.08</v>
      </c>
      <c r="E35" s="308" t="s">
        <v>4225</v>
      </c>
      <c r="F35" s="308">
        <v>13.08</v>
      </c>
      <c r="G35" s="309" t="b">
        <v>1</v>
      </c>
      <c r="H35" s="309" t="b">
        <v>1</v>
      </c>
      <c r="I35" s="308" t="s">
        <v>4271</v>
      </c>
      <c r="J35" s="308" t="s">
        <v>4241</v>
      </c>
    </row>
    <row r="36" spans="1:10" ht="30" customHeight="1">
      <c r="A36" s="306">
        <v>46251</v>
      </c>
      <c r="B36" s="307" t="s">
        <v>4242</v>
      </c>
      <c r="C36" s="308" t="s">
        <v>4262</v>
      </c>
      <c r="D36" s="308">
        <v>14.08</v>
      </c>
      <c r="E36" s="308" t="s">
        <v>4225</v>
      </c>
      <c r="F36" s="308">
        <v>14.08</v>
      </c>
      <c r="G36" s="309" t="b">
        <v>1</v>
      </c>
      <c r="H36" s="309" t="b">
        <v>1</v>
      </c>
      <c r="I36" s="308" t="s">
        <v>4263</v>
      </c>
      <c r="J36" s="308" t="s">
        <v>4227</v>
      </c>
    </row>
    <row r="37" spans="1:10" ht="30" customHeight="1">
      <c r="A37" s="306">
        <v>46252</v>
      </c>
      <c r="B37" s="307" t="s">
        <v>4243</v>
      </c>
      <c r="C37" s="308" t="s">
        <v>802</v>
      </c>
      <c r="D37" s="308">
        <v>17.079999999999998</v>
      </c>
      <c r="E37" s="308" t="s">
        <v>4225</v>
      </c>
      <c r="F37" s="308">
        <v>17.079999999999998</v>
      </c>
      <c r="G37" s="309" t="b">
        <v>1</v>
      </c>
      <c r="H37" s="309" t="b">
        <v>1</v>
      </c>
      <c r="I37" s="308" t="s">
        <v>4272</v>
      </c>
      <c r="J37" s="308" t="s">
        <v>4244</v>
      </c>
    </row>
    <row r="38" spans="1:10" ht="30" customHeight="1">
      <c r="A38" s="306">
        <v>46253</v>
      </c>
      <c r="B38" s="307" t="s">
        <v>4245</v>
      </c>
      <c r="C38" s="308" t="s">
        <v>799</v>
      </c>
      <c r="D38" s="308" t="s">
        <v>4229</v>
      </c>
      <c r="E38" s="308" t="s">
        <v>4225</v>
      </c>
      <c r="F38" s="308">
        <v>18.079999999999998</v>
      </c>
      <c r="G38" s="309" t="b">
        <v>0</v>
      </c>
      <c r="H38" s="309" t="b">
        <v>1</v>
      </c>
      <c r="I38" s="308" t="s">
        <v>4273</v>
      </c>
      <c r="J38" s="308" t="s">
        <v>4246</v>
      </c>
    </row>
    <row r="39" spans="1:10" ht="30" customHeight="1">
      <c r="A39" s="306">
        <v>46254</v>
      </c>
      <c r="B39" s="307" t="s">
        <v>4274</v>
      </c>
      <c r="C39" s="308" t="s">
        <v>801</v>
      </c>
      <c r="D39" s="308">
        <v>19.079999999999998</v>
      </c>
      <c r="E39" s="308" t="s">
        <v>4225</v>
      </c>
      <c r="F39" s="308">
        <v>19.079999999999998</v>
      </c>
      <c r="G39" s="309" t="b">
        <v>1</v>
      </c>
      <c r="H39" s="309" t="b">
        <v>1</v>
      </c>
      <c r="I39" s="308" t="s">
        <v>4275</v>
      </c>
      <c r="J39" s="308" t="s">
        <v>4247</v>
      </c>
    </row>
    <row r="40" spans="1:10" ht="30" customHeight="1">
      <c r="A40" s="306">
        <v>46255</v>
      </c>
      <c r="B40" s="307" t="s">
        <v>4248</v>
      </c>
      <c r="C40" s="308" t="s">
        <v>4216</v>
      </c>
      <c r="D40" s="308">
        <v>20.079999999999998</v>
      </c>
      <c r="E40" s="308" t="s">
        <v>4225</v>
      </c>
      <c r="F40" s="308">
        <v>20.079999999999998</v>
      </c>
      <c r="G40" s="309" t="b">
        <v>1</v>
      </c>
      <c r="H40" s="309" t="b">
        <v>1</v>
      </c>
      <c r="I40" s="308" t="s">
        <v>4265</v>
      </c>
      <c r="J40" s="308" t="s">
        <v>4232</v>
      </c>
    </row>
    <row r="41" spans="1:10" ht="24" customHeight="1">
      <c r="A41" s="339" t="s">
        <v>4249</v>
      </c>
      <c r="B41" s="339"/>
      <c r="C41" s="339"/>
      <c r="D41" s="339"/>
      <c r="E41" s="339"/>
      <c r="F41" s="339"/>
      <c r="G41" s="339"/>
      <c r="H41" s="339"/>
      <c r="I41" s="339"/>
      <c r="J41" s="339"/>
    </row>
    <row r="42" spans="1:10" ht="30" customHeight="1">
      <c r="A42" s="306">
        <v>46258</v>
      </c>
      <c r="B42" s="307" t="s">
        <v>4250</v>
      </c>
      <c r="C42" s="308" t="s">
        <v>805</v>
      </c>
      <c r="D42" s="308">
        <v>21.08</v>
      </c>
      <c r="E42" s="308"/>
      <c r="F42" s="308"/>
      <c r="G42" s="309" t="b">
        <v>1</v>
      </c>
      <c r="H42" s="309" t="b">
        <v>0</v>
      </c>
      <c r="I42" s="308"/>
      <c r="J42" s="308"/>
    </row>
    <row r="43" spans="1:10" ht="30" customHeight="1">
      <c r="A43" s="306">
        <v>46259</v>
      </c>
      <c r="B43" s="307" t="s">
        <v>4251</v>
      </c>
      <c r="C43" s="308" t="s">
        <v>802</v>
      </c>
      <c r="D43" s="308" t="s">
        <v>4229</v>
      </c>
      <c r="E43" s="308" t="s">
        <v>4229</v>
      </c>
      <c r="F43" s="308" t="s">
        <v>4229</v>
      </c>
      <c r="G43" s="309" t="b">
        <v>0</v>
      </c>
      <c r="H43" s="309" t="b">
        <v>0</v>
      </c>
      <c r="I43" s="308"/>
      <c r="J43" s="308"/>
    </row>
    <row r="44" spans="1:10" ht="30" customHeight="1">
      <c r="A44" s="306">
        <v>46260</v>
      </c>
      <c r="B44" s="307" t="s">
        <v>4252</v>
      </c>
      <c r="C44" s="308" t="s">
        <v>799</v>
      </c>
      <c r="D44" s="308" t="s">
        <v>4229</v>
      </c>
      <c r="E44" s="308" t="s">
        <v>4229</v>
      </c>
      <c r="F44" s="308" t="s">
        <v>4229</v>
      </c>
      <c r="G44" s="309" t="b">
        <v>0</v>
      </c>
      <c r="H44" s="309" t="b">
        <v>0</v>
      </c>
      <c r="I44" s="308"/>
      <c r="J44" s="308"/>
    </row>
    <row r="45" spans="1:10" ht="30" customHeight="1">
      <c r="A45" s="306">
        <v>46261</v>
      </c>
      <c r="B45" s="307" t="s">
        <v>4253</v>
      </c>
      <c r="C45" s="308" t="s">
        <v>801</v>
      </c>
      <c r="D45" s="308" t="s">
        <v>4229</v>
      </c>
      <c r="E45" s="308" t="s">
        <v>4229</v>
      </c>
      <c r="F45" s="308" t="s">
        <v>4229</v>
      </c>
      <c r="G45" s="309" t="b">
        <v>0</v>
      </c>
      <c r="H45" s="309" t="b">
        <v>0</v>
      </c>
      <c r="I45" s="308"/>
      <c r="J45" s="308"/>
    </row>
    <row r="46" spans="1:10" ht="30" customHeight="1">
      <c r="A46" s="306">
        <v>46262</v>
      </c>
      <c r="B46" s="307" t="s">
        <v>4254</v>
      </c>
      <c r="C46" s="308" t="s">
        <v>804</v>
      </c>
      <c r="D46" s="308" t="s">
        <v>4229</v>
      </c>
      <c r="E46" s="308" t="s">
        <v>4229</v>
      </c>
      <c r="F46" s="308" t="s">
        <v>4229</v>
      </c>
      <c r="G46" s="309" t="b">
        <v>0</v>
      </c>
      <c r="H46" s="309" t="b">
        <v>0</v>
      </c>
      <c r="I46" s="308"/>
      <c r="J46" s="308"/>
    </row>
  </sheetData>
  <autoFilter ref="A2:J46" xr:uid="{0E14B7C1-1285-41CE-9ADD-A01E44CB520B}"/>
  <mergeCells count="2">
    <mergeCell ref="A1:J1"/>
    <mergeCell ref="A41:J41"/>
  </mergeCells>
  <conditionalFormatting sqref="D3:F46">
    <cfRule type="containsText" dxfId="2" priority="3" operator="containsText" text="ÞARF AÐ PANTA">
      <formula>NOT(ISERROR(SEARCH("ÞARF AÐ PANTA",D3)))</formula>
    </cfRule>
  </conditionalFormatting>
  <conditionalFormatting sqref="G3:H46">
    <cfRule type="cellIs" dxfId="1" priority="1" operator="equal">
      <formula>FALSE</formula>
    </cfRule>
    <cfRule type="cellIs" dxfId="0"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2026-08-04T06:32:50Z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
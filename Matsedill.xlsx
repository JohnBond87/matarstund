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9015" documentId="8_{9058C769-37DB-4D75-B77A-5C1D47EA4B73}" xr6:coauthVersionLast="47" xr6:coauthVersionMax="47" xr10:uidLastSave="{EAC2F223-F6A9-4C88-A0A3-E7104E933215}"/>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38" i="2" l="1"/>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D341" i="2" s="1"/>
  <c r="E342" i="2"/>
  <c r="E341" i="2" s="1" a="1"/>
  <c r="F342" i="2"/>
  <c r="G342" i="2"/>
  <c r="G341" i="2" s="1"/>
  <c r="H342" i="2"/>
  <c r="H341" i="2" s="1"/>
  <c r="I342" i="2"/>
  <c r="I341" i="2" s="1"/>
  <c r="J342" i="2"/>
  <c r="J341" i="2" s="1"/>
  <c r="K342" i="2"/>
  <c r="K341" i="2" s="1"/>
  <c r="L342" i="2"/>
  <c r="L341" i="2" s="1"/>
  <c r="M342" i="2"/>
  <c r="M341" i="2" s="1"/>
  <c r="N342" i="2"/>
  <c r="N341" i="2" s="1"/>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D350" i="2" s="1"/>
  <c r="E351" i="2"/>
  <c r="E350" i="2" s="1" a="1"/>
  <c r="F351" i="2"/>
  <c r="G351" i="2"/>
  <c r="G350" i="2" s="1"/>
  <c r="H351" i="2"/>
  <c r="H350" i="2" s="1"/>
  <c r="I351" i="2"/>
  <c r="I350" i="2" s="1"/>
  <c r="J351" i="2"/>
  <c r="J350" i="2" s="1"/>
  <c r="K351" i="2"/>
  <c r="K350" i="2" s="1"/>
  <c r="L351" i="2"/>
  <c r="L350" i="2" s="1"/>
  <c r="M351" i="2"/>
  <c r="M350" i="2" s="1"/>
  <c r="N351" i="2"/>
  <c r="N350" i="2" s="1"/>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D359" i="2" s="1"/>
  <c r="E360" i="2"/>
  <c r="E359" i="2" s="1" a="1"/>
  <c r="F360" i="2"/>
  <c r="G360" i="2"/>
  <c r="G359" i="2" s="1"/>
  <c r="H360" i="2"/>
  <c r="H359" i="2" s="1"/>
  <c r="I360" i="2"/>
  <c r="I359" i="2" s="1"/>
  <c r="J360" i="2"/>
  <c r="J359" i="2" s="1"/>
  <c r="K360" i="2"/>
  <c r="K359" i="2" s="1"/>
  <c r="L360" i="2"/>
  <c r="L359" i="2" s="1"/>
  <c r="M360" i="2"/>
  <c r="M359" i="2" s="1"/>
  <c r="N360" i="2"/>
  <c r="N359" i="2" s="1"/>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E367" i="2" s="1" a="1"/>
  <c r="F368" i="2"/>
  <c r="G368" i="2"/>
  <c r="G367" i="2" s="1"/>
  <c r="H368" i="2"/>
  <c r="H367" i="2" s="1"/>
  <c r="I368" i="2"/>
  <c r="I367" i="2" s="1"/>
  <c r="J368" i="2"/>
  <c r="J367" i="2" s="1"/>
  <c r="K368" i="2"/>
  <c r="K367" i="2" s="1"/>
  <c r="L368" i="2"/>
  <c r="L367" i="2" s="1"/>
  <c r="M368" i="2"/>
  <c r="M367" i="2" s="1"/>
  <c r="N368" i="2"/>
  <c r="N367" i="2" s="1"/>
  <c r="O368" i="2"/>
  <c r="D369" i="2"/>
  <c r="D367" i="2" s="1"/>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D244" i="2" s="1"/>
  <c r="E245" i="2"/>
  <c r="E244" i="2" s="1" a="1"/>
  <c r="F245" i="2"/>
  <c r="G245" i="2"/>
  <c r="G244" i="2" s="1"/>
  <c r="H245" i="2"/>
  <c r="H244" i="2" s="1"/>
  <c r="I245" i="2"/>
  <c r="I244" i="2" s="1"/>
  <c r="J245" i="2"/>
  <c r="J244" i="2" s="1"/>
  <c r="K245" i="2"/>
  <c r="K244" i="2" s="1"/>
  <c r="L245" i="2"/>
  <c r="L244" i="2" s="1"/>
  <c r="M245" i="2"/>
  <c r="M244" i="2" s="1"/>
  <c r="N245" i="2"/>
  <c r="N244" i="2" s="1"/>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G252" i="2" s="1"/>
  <c r="H253" i="2"/>
  <c r="H252" i="2" s="1"/>
  <c r="I253" i="2"/>
  <c r="I252" i="2" s="1"/>
  <c r="J253" i="2"/>
  <c r="J252" i="2" s="1"/>
  <c r="K253" i="2"/>
  <c r="K252" i="2" s="1"/>
  <c r="L253" i="2"/>
  <c r="L252" i="2" s="1"/>
  <c r="M253" i="2"/>
  <c r="M252" i="2" s="1"/>
  <c r="N253" i="2"/>
  <c r="N252" i="2" s="1"/>
  <c r="O253" i="2"/>
  <c r="D254" i="2"/>
  <c r="E254" i="2"/>
  <c r="F254" i="2"/>
  <c r="G254" i="2"/>
  <c r="H254" i="2"/>
  <c r="I254" i="2"/>
  <c r="J254" i="2"/>
  <c r="K254" i="2"/>
  <c r="L254" i="2"/>
  <c r="M254" i="2"/>
  <c r="N254" i="2"/>
  <c r="O254" i="2"/>
  <c r="D255" i="2"/>
  <c r="D252" i="2" s="1"/>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D260" i="2" s="1"/>
  <c r="E261" i="2"/>
  <c r="E260" i="2" s="1" a="1"/>
  <c r="F261" i="2"/>
  <c r="G261" i="2"/>
  <c r="G260" i="2" s="1"/>
  <c r="H261" i="2"/>
  <c r="H260" i="2" s="1"/>
  <c r="I261" i="2"/>
  <c r="I260" i="2" s="1"/>
  <c r="J261" i="2"/>
  <c r="J260" i="2" s="1"/>
  <c r="K261" i="2"/>
  <c r="K260" i="2" s="1"/>
  <c r="L261" i="2"/>
  <c r="L260" i="2" s="1"/>
  <c r="M261" i="2"/>
  <c r="M260" i="2" s="1"/>
  <c r="N261" i="2"/>
  <c r="N260" i="2" s="1"/>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D275" i="2" s="1"/>
  <c r="E276" i="2"/>
  <c r="E275" i="2" s="1" a="1"/>
  <c r="F276" i="2"/>
  <c r="G276" i="2"/>
  <c r="G275" i="2" s="1"/>
  <c r="H276" i="2"/>
  <c r="H275" i="2" s="1"/>
  <c r="I276" i="2"/>
  <c r="I275" i="2" s="1"/>
  <c r="J276" i="2"/>
  <c r="J275" i="2" s="1"/>
  <c r="K276" i="2"/>
  <c r="K275" i="2" s="1"/>
  <c r="L276" i="2"/>
  <c r="L275" i="2" s="1"/>
  <c r="M276" i="2"/>
  <c r="M275" i="2" s="1"/>
  <c r="N276" i="2"/>
  <c r="N275" i="2" s="1"/>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E283" i="2" s="1" a="1"/>
  <c r="F284" i="2"/>
  <c r="G284" i="2"/>
  <c r="G283" i="2" s="1"/>
  <c r="H284" i="2"/>
  <c r="H283" i="2" s="1"/>
  <c r="I284" i="2"/>
  <c r="I283" i="2" s="1"/>
  <c r="J284" i="2"/>
  <c r="J283" i="2" s="1"/>
  <c r="K284" i="2"/>
  <c r="K283" i="2" s="1"/>
  <c r="L284" i="2"/>
  <c r="L283" i="2" s="1"/>
  <c r="M284" i="2"/>
  <c r="M283" i="2" s="1"/>
  <c r="N284" i="2"/>
  <c r="N283" i="2" s="1"/>
  <c r="O284" i="2"/>
  <c r="D285" i="2"/>
  <c r="D283" i="2" s="1"/>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D291" i="2" s="1"/>
  <c r="E292" i="2"/>
  <c r="E291" i="2" s="1" a="1"/>
  <c r="F292" i="2"/>
  <c r="G292" i="2"/>
  <c r="G291" i="2" s="1"/>
  <c r="H292" i="2"/>
  <c r="H291" i="2" s="1"/>
  <c r="I292" i="2"/>
  <c r="I291" i="2" s="1"/>
  <c r="J292" i="2"/>
  <c r="J291" i="2" s="1"/>
  <c r="K292" i="2"/>
  <c r="K291" i="2" s="1"/>
  <c r="L292" i="2"/>
  <c r="L291" i="2" s="1"/>
  <c r="M292" i="2"/>
  <c r="M291" i="2" s="1"/>
  <c r="N292" i="2"/>
  <c r="N291" i="2" s="1"/>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D300" i="2" s="1"/>
  <c r="E301" i="2"/>
  <c r="E300" i="2" s="1" a="1"/>
  <c r="F301" i="2"/>
  <c r="G301" i="2"/>
  <c r="G300" i="2" s="1"/>
  <c r="H301" i="2"/>
  <c r="H300" i="2" s="1"/>
  <c r="I301" i="2"/>
  <c r="I300" i="2" s="1"/>
  <c r="J301" i="2"/>
  <c r="J300" i="2" s="1"/>
  <c r="K301" i="2"/>
  <c r="K300" i="2" s="1"/>
  <c r="L301" i="2"/>
  <c r="L300" i="2" s="1"/>
  <c r="M301" i="2"/>
  <c r="M300" i="2" s="1"/>
  <c r="N301" i="2"/>
  <c r="N300" i="2" s="1"/>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D308" i="2" s="1"/>
  <c r="E309" i="2"/>
  <c r="E308" i="2" s="1" a="1"/>
  <c r="F309" i="2"/>
  <c r="G309" i="2"/>
  <c r="G308" i="2" s="1"/>
  <c r="H309" i="2"/>
  <c r="H308" i="2" s="1"/>
  <c r="I309" i="2"/>
  <c r="I308" i="2" s="1"/>
  <c r="J309" i="2"/>
  <c r="J308" i="2" s="1"/>
  <c r="K309" i="2"/>
  <c r="K308" i="2" s="1"/>
  <c r="L309" i="2"/>
  <c r="L308" i="2" s="1"/>
  <c r="M309" i="2"/>
  <c r="M308" i="2" s="1"/>
  <c r="N309" i="2"/>
  <c r="N308" i="2" s="1"/>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D314" i="2" s="1"/>
  <c r="E315" i="2"/>
  <c r="E314" i="2" s="1" a="1"/>
  <c r="F315" i="2"/>
  <c r="G315" i="2"/>
  <c r="G314" i="2" s="1"/>
  <c r="H315" i="2"/>
  <c r="H314" i="2" s="1"/>
  <c r="I315" i="2"/>
  <c r="I314" i="2" s="1"/>
  <c r="J315" i="2"/>
  <c r="J314" i="2" s="1"/>
  <c r="K315" i="2"/>
  <c r="K314" i="2" s="1"/>
  <c r="L315" i="2"/>
  <c r="L314" i="2" s="1"/>
  <c r="M315" i="2"/>
  <c r="M314" i="2" s="1"/>
  <c r="N315" i="2"/>
  <c r="N314" i="2" s="1"/>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D320" i="2" s="1"/>
  <c r="E321" i="2"/>
  <c r="E320" i="2" s="1" a="1"/>
  <c r="F321" i="2"/>
  <c r="G321" i="2"/>
  <c r="G320" i="2" s="1"/>
  <c r="H321" i="2"/>
  <c r="H320" i="2" s="1"/>
  <c r="I321" i="2"/>
  <c r="I320" i="2" s="1"/>
  <c r="J321" i="2"/>
  <c r="J320" i="2" s="1"/>
  <c r="K321" i="2"/>
  <c r="K320" i="2" s="1"/>
  <c r="L321" i="2"/>
  <c r="L320" i="2" s="1"/>
  <c r="M321" i="2"/>
  <c r="M320" i="2" s="1"/>
  <c r="N321" i="2"/>
  <c r="N320" i="2" s="1"/>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D329" i="2" s="1"/>
  <c r="E330" i="2"/>
  <c r="E329" i="2" s="1" a="1"/>
  <c r="F330" i="2"/>
  <c r="G330" i="2"/>
  <c r="G329" i="2" s="1"/>
  <c r="H330" i="2"/>
  <c r="H329" i="2" s="1"/>
  <c r="I330" i="2"/>
  <c r="I329" i="2" s="1"/>
  <c r="J330" i="2"/>
  <c r="J329" i="2" s="1"/>
  <c r="K330" i="2"/>
  <c r="K329" i="2" s="1"/>
  <c r="L330" i="2"/>
  <c r="L329" i="2" s="1"/>
  <c r="M330" i="2"/>
  <c r="M329" i="2" s="1"/>
  <c r="N330" i="2"/>
  <c r="N329" i="2" s="1"/>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D333" i="2" s="1"/>
  <c r="E334" i="2"/>
  <c r="E333" i="2" s="1" a="1"/>
  <c r="F334" i="2"/>
  <c r="G334" i="2"/>
  <c r="G333" i="2" s="1"/>
  <c r="H334" i="2"/>
  <c r="H333" i="2" s="1"/>
  <c r="I334" i="2"/>
  <c r="I333" i="2" s="1"/>
  <c r="J334" i="2"/>
  <c r="J333" i="2" s="1"/>
  <c r="K334" i="2"/>
  <c r="K333" i="2" s="1"/>
  <c r="L334" i="2"/>
  <c r="L333" i="2" s="1"/>
  <c r="M334" i="2"/>
  <c r="M333" i="2" s="1"/>
  <c r="N334" i="2"/>
  <c r="N333" i="2" s="1"/>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158"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<sst xmlns="http://schemas.openxmlformats.org/spreadsheetml/2006/main" count="60497" uniqueCount="3722">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</sst>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3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0" fontId="0" fillId="7" borderId="36" xfId="0"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5" fillId="10" borderId="36" xfId="0" applyFont="1" applyFill="1" applyBorder="1" applyAlignment="1">
      <alignment horizontal="left" vertical="center" wrapText="1"/>
    </xf>
    <xf numFmtId="164" fontId="5" fillId="10" borderId="36" xfId="0" applyNumberFormat="1" applyFont="1" applyFill="1" applyBorder="1" applyAlignment="1">
      <alignment horizontal="left" vertical="center" wrapText="1"/>
    </xf>
    <xf numFmtId="165" fontId="5" fillId="10" borderId="36"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194" t="s">
        <v>723</v>
      </c>
      <c r="B349" s="194" t="s">
        <v>723</v>
      </c>
      <c r="C349" s="194"/>
      <c r="D349" s="194"/>
      <c r="E349" s="194"/>
      <c r="F349" s="194"/>
      <c r="G349" s="194"/>
      <c r="H349" s="194"/>
      <c r="I349" s="194"/>
      <c r="J349" s="195"/>
      <c r="K349" s="195"/>
      <c r="L349" s="195"/>
      <c r="M349" s="195"/>
      <c r="N349" s="195"/>
      <c r="O349" s="195"/>
      <c r="P349" s="195"/>
      <c r="Q349" s="195"/>
      <c r="R349" s="196"/>
      <c r="S349" s="194" t="s">
        <v>3639</v>
      </c>
    </row>
    <row r="350" spans="1:19" ht="15" customHeight="1">
      <c r="A350" s="201"/>
      <c r="B350" s="201"/>
      <c r="C350" s="201"/>
      <c r="D350" s="201"/>
      <c r="E350" s="201"/>
      <c r="F350" s="201"/>
      <c r="G350" s="201"/>
      <c r="H350" s="201"/>
      <c r="I350" s="201"/>
      <c r="J350" s="202"/>
      <c r="K350" s="202"/>
      <c r="L350" s="202"/>
      <c r="M350" s="202"/>
      <c r="N350" s="202"/>
      <c r="O350" s="202"/>
      <c r="P350" s="202"/>
      <c r="Q350" s="202"/>
      <c r="R350" s="203"/>
      <c r="S350" s="201"/>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312" activePane="bottomRight" state="frozen"/>
      <selection pane="topRight" activeCell="B1" sqref="B1"/>
      <selection pane="bottomLeft" activeCell="A3" sqref="A3"/>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6"/>
      <c r="B243" s="206" t="s">
        <v>445</v>
      </c>
      <c r="C243" s="207">
        <v>15000</v>
      </c>
      <c r="D243" s="208" t="s">
        <v>448</v>
      </c>
      <c r="E243" s="208" t="s">
        <v>120</v>
      </c>
      <c r="F243" s="208"/>
      <c r="G243" s="209">
        <f>IF(OR(B243="",C243=""),"",IFERROR(IFERROR(INDEX(Vöruskrá!J:J,MATCH(B243,Vöruskrá!B:B,0)),"")*C243/100000,""))</f>
        <v>110.7</v>
      </c>
      <c r="H243" s="209">
        <f>IF(OR(B243="",C243=""),"",IFERROR(IFERROR(INDEX(Vöruskrá!K:K,MATCH(B243,Vöruskrá!B:B,0)),"")*C243/100000,""))</f>
        <v>12.3</v>
      </c>
      <c r="I243" s="209">
        <f>IF(OR(B243="",C243=""),"",IFERROR(IFERROR(INDEX(Vöruskrá!L:L,MATCH(B243,Vöruskrá!B:B,0)),"")*C243/100000,""))</f>
        <v>7.35</v>
      </c>
      <c r="J243" s="209">
        <f>IF(OR(B243="",C243=""),"",IFERROR(IFERROR(INDEX(Vöruskrá!M:M,MATCH(B243,Vöruskrá!B:B,0)),"")*C243/100000,""))</f>
        <v>0.06</v>
      </c>
      <c r="K243" s="209">
        <f>IF(OR(B243="",C243=""),"",IFERROR(IFERROR(INDEX(Vöruskrá!N:N,MATCH(B243,Vöruskrá!B:B,0)),"")*C243/100000,""))</f>
        <v>0.06</v>
      </c>
      <c r="L243" s="209">
        <f>IF(OR(B243="",C243=""),"",IFERROR(IFERROR(INDEX(Vöruskrá!O:O,MATCH(B243,Vöruskrá!B:B,0)),"")*C243/100000,""))</f>
        <v>0.09</v>
      </c>
      <c r="M243" s="209">
        <f>IF(OR(B243="",C243=""),"",IFERROR(IFERROR(INDEX(Vöruskrá!P:P,MATCH(B243,Vöruskrá!B:B,0)),"")*C243/100000,""))</f>
        <v>0.18</v>
      </c>
      <c r="N243" s="209">
        <f>IF(OR(B243="",C243=""),"",IFERROR(IFERROR(INDEX(Vöruskrá!Q:Q,MATCH(B243,Vöruskrá!B:B,0)),"")*C243/100000,""))</f>
        <v>0</v>
      </c>
      <c r="O243" s="210">
        <f>IF(OR(B243="",C243=""),"",IFERROR(C243/1000*IFERROR(INDEX(Vöruskrá!R:R,MATCH(B243,Vöruskrá!B:B,0)),0)/1000,""))</f>
        <v>0</v>
      </c>
      <c r="P243" s="206"/>
      <c r="Q243" s="28"/>
      <c r="R243" s="6"/>
    </row>
    <row r="244" spans="1:18" ht="26">
      <c r="A244" s="176" t="s">
        <v>3691</v>
      </c>
      <c r="B244" s="176"/>
      <c r="C244" s="177"/>
      <c r="D244" s="216" t="str">
        <f>_xlfn.TEXTJOIN(" | ",TRUE,D245:D251)</f>
        <v>Ýsa | 0 | 0 | 0 | Salt (salt, kekkjavarnarefni E535, lyftiefni E500). | Svartur pipar 100% (Piper nigrum), hitaþurrkað. | Repjuolía</v>
      </c>
      <c r="E244" s="216" t="str" cm="1">
        <f t="array" ref="E244">IFERROR(_xlfn.TEXTJOIN(", ",TRUE,_xlfn.UNIQUE(_xlfn._xlws.FILTER(E245:E251,(E245:E251&lt;&gt;"Engir skráðir")*(E245:E251&lt;&gt;"")))),"Engir skráðir")</f>
        <v>Fiskur</v>
      </c>
      <c r="F244" s="216"/>
      <c r="G244" s="217">
        <f>IFERROR(SUM(G245:G251)/(SUM($C$245:$C$251)/100000),"")</f>
        <v>105.72792272077277</v>
      </c>
      <c r="H244" s="217">
        <f>IFERROR(SUM(H245:H251)/(SUM($C$245:$C$251)/100000),"")</f>
        <v>3.4900410995890034</v>
      </c>
      <c r="I244" s="217">
        <f>IFERROR(SUM(I245:I251)/(SUM($C$245:$C$251)/100000),"")</f>
        <v>0.28643813561864379</v>
      </c>
      <c r="J244" s="217">
        <f>IFERROR(SUM(J245:J251)/(SUM($C$245:$C$251)/100000),"")</f>
        <v>2.0968790312096877</v>
      </c>
      <c r="K244" s="217">
        <f>IFERROR(SUM(K245:K251)/(SUM($C$245:$C$251)/100000),"")</f>
        <v>0.80832491675083251</v>
      </c>
      <c r="L244" s="217">
        <f>IFERROR(SUM(L245:L251)/(SUM($C$245:$C$251)/100000),"")</f>
        <v>18.018279817201826</v>
      </c>
      <c r="M244" s="217">
        <f>IFERROR(SUM(M245:M251)/(SUM($C$245:$C$251)/100000),"")</f>
        <v>1.2128838711612886</v>
      </c>
      <c r="N244" s="217">
        <f>IFERROR(SUM(N245:N251)/(SUM($C$245:$C$251)/100000),"")</f>
        <v>0</v>
      </c>
      <c r="O244" s="218" t="str">
        <f>IF(OR(B244="",C244=""),"",IFERROR(C244/1000*INDEX(Vöruskrá!R:R,MATCH(B244,Vöruskrá!B:B,0))/1000,""))</f>
        <v/>
      </c>
      <c r="P244" s="176" t="s">
        <v>3692</v>
      </c>
      <c r="Q244" s="204"/>
      <c r="R244" s="27"/>
    </row>
    <row r="245" spans="1:18">
      <c r="A245" s="222"/>
      <c r="B245" s="222" t="s">
        <v>926</v>
      </c>
      <c r="C245" s="223">
        <v>78201</v>
      </c>
      <c r="D245" s="219" t="str">
        <f>IF(B245="","",IFERROR(INDEX(Vöruskrá!F:F,MATCH(B245,Vöruskrá!B:B,0)),""))</f>
        <v>Ýsa</v>
      </c>
      <c r="E245" s="219" t="str">
        <f>IF(B245="","",IFERROR(IF(INDEX(Vöruskrá!G:G,MATCH(B245,Vöruskrá!B:B,0))="","Engir skráðir",INDEX(Vöruskrá!G:G,MATCH(B245,Vöruskrá!B:B,0))),"Engir skráðir"))</f>
        <v>Fiskur</v>
      </c>
      <c r="F245" s="219">
        <f>IF(B245="","",IFERROR(INDEX(Vöruskrá!H:H,MATCH(B245,Vöruskrá!B:B,0)),""))</f>
        <v>0</v>
      </c>
      <c r="G245" s="220">
        <f>IF(OR(B245="",C245=""),"",IFERROR(INDEX(Vöruskrá!J:J,MATCH(B245,Vöruskrá!B:B,0))*C245/100000,""))</f>
        <v>78.200999999999993</v>
      </c>
      <c r="H245" s="220">
        <f>IF(OR(B245="",C245=""),"",IFERROR(INDEX(Vöruskrá!K:K,MATCH(B245,Vöruskrá!B:B,0))*C245/100000,""))</f>
        <v>0.54740699999999998</v>
      </c>
      <c r="I245" s="220">
        <f>IF(OR(B245="",C245=""),"",IFERROR(INDEX(Vöruskrá!L:L,MATCH(B245,Vöruskrá!B:B,0))*C245/100000,""))</f>
        <v>7.8201000000000007E-2</v>
      </c>
      <c r="J245" s="220">
        <f>IF(OR(B245="",C245=""),"",IFERROR(INDEX(Vöruskrá!M:M,MATCH(B245,Vöruskrá!B:B,0))*C245/100000,""))</f>
        <v>0</v>
      </c>
      <c r="K245" s="220">
        <f>IF(OR(B245="",C245=""),"",IFERROR(INDEX(Vöruskrá!N:N,MATCH(B245,Vöruskrá!B:B,0))*C245/100000,""))</f>
        <v>0</v>
      </c>
      <c r="L245" s="220">
        <f>IF(OR(B245="",C245=""),"",IFERROR(INDEX(Vöruskrá!O:O,MATCH(B245,Vöruskrá!B:B,0))*C245/100000,""))</f>
        <v>17.986229999999999</v>
      </c>
      <c r="M245" s="220">
        <f>IF(OR(B245="",C245=""),"",IFERROR(INDEX(Vöruskrá!P:P,MATCH(B245,Vöruskrá!B:B,0))*C245/100000,""))</f>
        <v>0.23460300000000001</v>
      </c>
      <c r="N245" s="220">
        <f>IF(OR(B245="",C245=""),"",IFERROR(INDEX(Vöruskrá!Q:Q,MATCH(B245,Vöruskrá!B:B,0))*C245/100000,""))</f>
        <v>0</v>
      </c>
      <c r="O245" s="221">
        <f>IF(OR(B245="",C245=""),"",IFERROR(C245/1000*INDEX(Vöruskrá!R:R,MATCH(B245,Vöruskrá!B:B,0))/1000,""))</f>
        <v>0</v>
      </c>
      <c r="P245" s="222"/>
      <c r="Q245" s="205"/>
      <c r="R245" s="6"/>
    </row>
    <row r="246" spans="1:18">
      <c r="A246" s="224"/>
      <c r="B246" s="224" t="s">
        <v>3641</v>
      </c>
      <c r="C246" s="225">
        <v>9775</v>
      </c>
      <c r="D246" s="219">
        <f>IF(B246="","",IFERROR(INDEX(Vöruskrá!F:F,MATCH(B246,Vöruskrá!B:B,0)),""))</f>
        <v>0</v>
      </c>
      <c r="E246" s="219" t="str">
        <f>IF(B246="","",IFERROR(IF(INDEX(Vöruskrá!G:G,MATCH(B246,Vöruskrá!B:B,0))="","Engir skráðir",INDEX(Vöruskrá!G:G,MATCH(B246,Vöruskrá!B:B,0))),"Engir skráðir"))</f>
        <v>Engir skráðir</v>
      </c>
      <c r="F246" s="219">
        <f>IF(B246="","",IFERROR(INDEX(Vöruskrá!H:H,MATCH(B246,Vöruskrá!B:B,0)),""))</f>
        <v>0</v>
      </c>
      <c r="G246" s="220">
        <f>IF(OR(B246="",C246=""),"",IFERROR(INDEX(Vöruskrá!J:J,MATCH(B246,Vöruskrá!B:B,0))*C246/100000,""))</f>
        <v>0</v>
      </c>
      <c r="H246" s="220">
        <f>IF(OR(B246="",C246=""),"",IFERROR(INDEX(Vöruskrá!K:K,MATCH(B246,Vöruskrá!B:B,0))*C246/100000,""))</f>
        <v>0</v>
      </c>
      <c r="I246" s="220">
        <f>IF(OR(B246="",C246=""),"",IFERROR(INDEX(Vöruskrá!L:L,MATCH(B246,Vöruskrá!B:B,0))*C246/100000,""))</f>
        <v>0</v>
      </c>
      <c r="J246" s="220">
        <f>IF(OR(B246="",C246=""),"",IFERROR(INDEX(Vöruskrá!M:M,MATCH(B246,Vöruskrá!B:B,0))*C246/100000,""))</f>
        <v>0</v>
      </c>
      <c r="K246" s="220">
        <f>IF(OR(B246="",C246=""),"",IFERROR(INDEX(Vöruskrá!N:N,MATCH(B246,Vöruskrá!B:B,0))*C246/100000,""))</f>
        <v>0</v>
      </c>
      <c r="L246" s="220">
        <f>IF(OR(B246="",C246=""),"",IFERROR(INDEX(Vöruskrá!O:O,MATCH(B246,Vöruskrá!B:B,0))*C246/100000,""))</f>
        <v>0</v>
      </c>
      <c r="M246" s="220">
        <f>IF(OR(B246="",C246=""),"",IFERROR(INDEX(Vöruskrá!P:P,MATCH(B246,Vöruskrá!B:B,0))*C246/100000,""))</f>
        <v>0</v>
      </c>
      <c r="N246" s="220">
        <f>IF(OR(B246="",C246=""),"",IFERROR(INDEX(Vöruskrá!Q:Q,MATCH(B246,Vöruskrá!B:B,0))*C246/100000,""))</f>
        <v>0</v>
      </c>
      <c r="O246" s="221">
        <f>IF(OR(B246="",C246=""),"",IFERROR(C246/1000*INDEX(Vöruskrá!R:R,MATCH(B246,Vöruskrá!B:B,0))/1000,""))</f>
        <v>0</v>
      </c>
      <c r="P246" s="224"/>
      <c r="Q246" s="204"/>
      <c r="R246" s="27"/>
    </row>
    <row r="247" spans="1:18">
      <c r="A247" s="222"/>
      <c r="B247" s="222" t="s">
        <v>2420</v>
      </c>
      <c r="C247" s="223">
        <v>4888</v>
      </c>
      <c r="D247" s="219">
        <f>IF(B247="","",IFERROR(INDEX(Vöruskrá!F:F,MATCH(B247,Vöruskrá!B:B,0)),""))</f>
        <v>0</v>
      </c>
      <c r="E247" s="219" t="str">
        <f>IF(B247="","",IFERROR(IF(INDEX(Vöruskrá!G:G,MATCH(B247,Vöruskrá!B:B,0))="","Engir skráðir",INDEX(Vöruskrá!G:G,MATCH(B247,Vöruskrá!B:B,0))),"Engir skráðir"))</f>
        <v>Engir skráðir</v>
      </c>
      <c r="F247" s="219">
        <f>IF(B247="","",IFERROR(INDEX(Vöruskrá!H:H,MATCH(B247,Vöruskrá!B:B,0)),""))</f>
        <v>0</v>
      </c>
      <c r="G247" s="220">
        <f>IF(OR(B247="",C247=""),"",IFERROR(INDEX(Vöruskrá!J:J,MATCH(B247,Vöruskrá!B:B,0))*C247/100000,""))</f>
        <v>0</v>
      </c>
      <c r="H247" s="220">
        <f>IF(OR(B247="",C247=""),"",IFERROR(INDEX(Vöruskrá!K:K,MATCH(B247,Vöruskrá!B:B,0))*C247/100000,""))</f>
        <v>0</v>
      </c>
      <c r="I247" s="220">
        <f>IF(OR(B247="",C247=""),"",IFERROR(INDEX(Vöruskrá!L:L,MATCH(B247,Vöruskrá!B:B,0))*C247/100000,""))</f>
        <v>0</v>
      </c>
      <c r="J247" s="220">
        <f>IF(OR(B247="",C247=""),"",IFERROR(INDEX(Vöruskrá!M:M,MATCH(B247,Vöruskrá!B:B,0))*C247/100000,""))</f>
        <v>0</v>
      </c>
      <c r="K247" s="220">
        <f>IF(OR(B247="",C247=""),"",IFERROR(INDEX(Vöruskrá!N:N,MATCH(B247,Vöruskrá!B:B,0))*C247/100000,""))</f>
        <v>0</v>
      </c>
      <c r="L247" s="220">
        <f>IF(OR(B247="",C247=""),"",IFERROR(INDEX(Vöruskrá!O:O,MATCH(B247,Vöruskrá!B:B,0))*C247/100000,""))</f>
        <v>0</v>
      </c>
      <c r="M247" s="220">
        <f>IF(OR(B247="",C247=""),"",IFERROR(INDEX(Vöruskrá!P:P,MATCH(B247,Vöruskrá!B:B,0))*C247/100000,""))</f>
        <v>0</v>
      </c>
      <c r="N247" s="220">
        <f>IF(OR(B247="",C247=""),"",IFERROR(INDEX(Vöruskrá!Q:Q,MATCH(B247,Vöruskrá!B:B,0))*C247/100000,""))</f>
        <v>0</v>
      </c>
      <c r="O247" s="221">
        <f>IF(OR(B247="",C247=""),"",IFERROR(C247/1000*INDEX(Vöruskrá!R:R,MATCH(B247,Vöruskrá!B:B,0))/1000,""))</f>
        <v>0</v>
      </c>
      <c r="P247" s="222"/>
      <c r="Q247" s="205"/>
      <c r="R247" s="6"/>
    </row>
    <row r="248" spans="1:18">
      <c r="A248" s="224"/>
      <c r="B248" s="224" t="s">
        <v>3640</v>
      </c>
      <c r="C248" s="225">
        <v>2933</v>
      </c>
      <c r="D248" s="219">
        <f>IF(B248="","",IFERROR(INDEX(Vöruskrá!F:F,MATCH(B248,Vöruskrá!B:B,0)),""))</f>
        <v>0</v>
      </c>
      <c r="E248" s="219" t="str">
        <f>IF(B248="","",IFERROR(IF(INDEX(Vöruskrá!G:G,MATCH(B248,Vöruskrá!B:B,0))="","Engir skráðir",INDEX(Vöruskrá!G:G,MATCH(B248,Vöruskrá!B:B,0))),"Engir skráðir"))</f>
        <v>Engir skráðir</v>
      </c>
      <c r="F248" s="219">
        <f>IF(B248="","",IFERROR(INDEX(Vöruskrá!H:H,MATCH(B248,Vöruskrá!B:B,0)),""))</f>
        <v>0</v>
      </c>
      <c r="G248" s="220">
        <f>IF(OR(B248="",C248=""),"",IFERROR(INDEX(Vöruskrá!J:J,MATCH(B248,Vöruskrá!B:B,0))*C248/100000,""))</f>
        <v>0</v>
      </c>
      <c r="H248" s="220">
        <f>IF(OR(B248="",C248=""),"",IFERROR(INDEX(Vöruskrá!K:K,MATCH(B248,Vöruskrá!B:B,0))*C248/100000,""))</f>
        <v>0</v>
      </c>
      <c r="I248" s="220">
        <f>IF(OR(B248="",C248=""),"",IFERROR(INDEX(Vöruskrá!L:L,MATCH(B248,Vöruskrá!B:B,0))*C248/100000,""))</f>
        <v>0</v>
      </c>
      <c r="J248" s="220">
        <f>IF(OR(B248="",C248=""),"",IFERROR(INDEX(Vöruskrá!M:M,MATCH(B248,Vöruskrá!B:B,0))*C248/100000,""))</f>
        <v>0</v>
      </c>
      <c r="K248" s="220">
        <f>IF(OR(B248="",C248=""),"",IFERROR(INDEX(Vöruskrá!N:N,MATCH(B248,Vöruskrá!B:B,0))*C248/100000,""))</f>
        <v>0</v>
      </c>
      <c r="L248" s="220">
        <f>IF(OR(B248="",C248=""),"",IFERROR(INDEX(Vöruskrá!O:O,MATCH(B248,Vöruskrá!B:B,0))*C248/100000,""))</f>
        <v>0</v>
      </c>
      <c r="M248" s="220">
        <f>IF(OR(B248="",C248=""),"",IFERROR(INDEX(Vöruskrá!P:P,MATCH(B248,Vöruskrá!B:B,0))*C248/100000,""))</f>
        <v>0</v>
      </c>
      <c r="N248" s="220">
        <f>IF(OR(B248="",C248=""),"",IFERROR(INDEX(Vöruskrá!Q:Q,MATCH(B248,Vöruskrá!B:B,0))*C248/100000,""))</f>
        <v>0</v>
      </c>
      <c r="O248" s="221">
        <f>IF(OR(B248="",C248=""),"",IFERROR(C248/1000*INDEX(Vöruskrá!R:R,MATCH(B248,Vöruskrá!B:B,0))/1000,""))</f>
        <v>0</v>
      </c>
      <c r="P248" s="224"/>
      <c r="Q248" s="204"/>
      <c r="R248" s="27"/>
    </row>
    <row r="249" spans="1:18">
      <c r="A249" s="222"/>
      <c r="B249" s="222" t="s">
        <v>299</v>
      </c>
      <c r="C249" s="223">
        <v>978</v>
      </c>
      <c r="D249" s="219" t="str">
        <f>IF(B249="","",IFERROR(INDEX(Vöruskrá!F:F,MATCH(B249,Vöruskrá!B:B,0)),""))</f>
        <v>Salt (salt, kekkjavarnarefni E535, lyftiefni E500).</v>
      </c>
      <c r="E249" s="219" t="str">
        <f>IF(B249="","",IFERROR(IF(INDEX(Vöruskrá!G:G,MATCH(B249,Vöruskrá!B:B,0))="","Engir skráðir",INDEX(Vöruskrá!G:G,MATCH(B249,Vöruskrá!B:B,0))),"Engir skráðir"))</f>
        <v>Engir skráðir</v>
      </c>
      <c r="F249" s="219" t="str">
        <f>IF(B249="","",IFERROR(INDEX(Vöruskrá!H:H,MATCH(B249,Vöruskrá!B:B,0)),""))</f>
        <v>Framleitt á svæði þar sem unnið er með mjólk, glúten, egg, sesam, sellerí, soja og sinnep.</v>
      </c>
      <c r="G249" s="220">
        <f>IF(OR(B249="",C249=""),"",IFERROR(INDEX(Vöruskrá!J:J,MATCH(B249,Vöruskrá!B:B,0))*C249/100000,""))</f>
        <v>0</v>
      </c>
      <c r="H249" s="220">
        <f>IF(OR(B249="",C249=""),"",IFERROR(INDEX(Vöruskrá!K:K,MATCH(B249,Vöruskrá!B:B,0))*C249/100000,""))</f>
        <v>0</v>
      </c>
      <c r="I249" s="220">
        <f>IF(OR(B249="",C249=""),"",IFERROR(INDEX(Vöruskrá!L:L,MATCH(B249,Vöruskrá!B:B,0))*C249/100000,""))</f>
        <v>0</v>
      </c>
      <c r="J249" s="220">
        <f>IF(OR(B249="",C249=""),"",IFERROR(INDEX(Vöruskrá!M:M,MATCH(B249,Vöruskrá!B:B,0))*C249/100000,""))</f>
        <v>0</v>
      </c>
      <c r="K249" s="220">
        <f>IF(OR(B249="",C249=""),"",IFERROR(INDEX(Vöruskrá!N:N,MATCH(B249,Vöruskrá!B:B,0))*C249/100000,""))</f>
        <v>0</v>
      </c>
      <c r="L249" s="220">
        <f>IF(OR(B249="",C249=""),"",IFERROR(INDEX(Vöruskrá!O:O,MATCH(B249,Vöruskrá!B:B,0))*C249/100000,""))</f>
        <v>0</v>
      </c>
      <c r="M249" s="220">
        <f>IF(OR(B249="",C249=""),"",IFERROR(INDEX(Vöruskrá!P:P,MATCH(B249,Vöruskrá!B:B,0))*C249/100000,""))</f>
        <v>0.97799999999999998</v>
      </c>
      <c r="N249" s="220">
        <f>IF(OR(B249="",C249=""),"",IFERROR(INDEX(Vöruskrá!Q:Q,MATCH(B249,Vöruskrá!B:B,0))*C249/100000,""))</f>
        <v>0</v>
      </c>
      <c r="O249" s="221">
        <f>IF(OR(B249="",C249=""),"",IFERROR(C249/1000*INDEX(Vöruskrá!R:R,MATCH(B249,Vöruskrá!B:B,0))/1000,""))</f>
        <v>0</v>
      </c>
      <c r="P249" s="222"/>
      <c r="Q249" s="205"/>
      <c r="R249" s="6"/>
    </row>
    <row r="250" spans="1:18">
      <c r="A250" s="224"/>
      <c r="B250" s="224" t="s">
        <v>819</v>
      </c>
      <c r="C250" s="225">
        <v>293</v>
      </c>
      <c r="D250" s="219" t="str">
        <f>IF(B250="","",IFERROR(INDEX(Vöruskrá!F:F,MATCH(B250,Vöruskrá!B:B,0)),""))</f>
        <v>Svartur pipar 100% (Piper nigrum), hitaþurrkað.</v>
      </c>
      <c r="E250" s="219" t="str">
        <f>IF(B250="","",IFERROR(IF(INDEX(Vöruskrá!G:G,MATCH(B250,Vöruskrá!B:B,0))="","Engir skráðir",INDEX(Vöruskrá!G:G,MATCH(B250,Vöruskrá!B:B,0))),"Engir skráðir"))</f>
        <v>Engir skráðir</v>
      </c>
      <c r="F250" s="219" t="str">
        <f>IF(B250="","",IFERROR(INDEX(Vöruskrá!H:H,MATCH(B250,Vöruskrá!B:B,0)),""))</f>
        <v>Framleitt á svæði þar sem unnið er með glúten, fisk, krabbadýr, lindýr, mjólk, soja, sellerí, sinnep og sesam.</v>
      </c>
      <c r="G250" s="220">
        <f>IF(OR(B250="",C250=""),"",IFERROR(INDEX(Vöruskrá!J:J,MATCH(B250,Vöruskrá!B:B,0))*C250/100000,""))</f>
        <v>1.1309800000000001</v>
      </c>
      <c r="H250" s="220">
        <f>IF(OR(B250="",C250=""),"",IFERROR(INDEX(Vöruskrá!K:K,MATCH(B250,Vöruskrá!B:B,0))*C250/100000,""))</f>
        <v>9.6690000000000005E-3</v>
      </c>
      <c r="I250" s="220">
        <f>IF(OR(B250="",C250=""),"",IFERROR(INDEX(Vöruskrá!L:L,MATCH(B250,Vöruskrá!B:B,0))*C250/100000,""))</f>
        <v>2.9299999999999999E-3</v>
      </c>
      <c r="J250" s="220">
        <f>IF(OR(B250="",C250=""),"",IFERROR(INDEX(Vöruskrá!M:M,MATCH(B250,Vöruskrá!B:B,0))*C250/100000,""))</f>
        <v>0.19045000000000001</v>
      </c>
      <c r="K250" s="220">
        <f>IF(OR(B250="",C250=""),"",IFERROR(INDEX(Vöruskrá!N:N,MATCH(B250,Vöruskrá!B:B,0))*C250/100000,""))</f>
        <v>1.7579999999999998E-3</v>
      </c>
      <c r="L250" s="220">
        <f>IF(OR(B250="",C250=""),"",IFERROR(INDEX(Vöruskrá!O:O,MATCH(B250,Vöruskrá!B:B,0))*C250/100000,""))</f>
        <v>3.2230000000000002E-2</v>
      </c>
      <c r="M250" s="220">
        <f>IF(OR(B250="",C250=""),"",IFERROR(INDEX(Vöruskrá!P:P,MATCH(B250,Vöruskrá!B:B,0))*C250/100000,""))</f>
        <v>2.9300000000000002E-4</v>
      </c>
      <c r="N250" s="220">
        <f>IF(OR(B250="",C250=""),"",IFERROR(INDEX(Vöruskrá!Q:Q,MATCH(B250,Vöruskrá!B:B,0))*C250/100000,""))</f>
        <v>0</v>
      </c>
      <c r="O250" s="221">
        <f>IF(OR(B250="",C250=""),"",IFERROR(C250/1000*INDEX(Vöruskrá!R:R,MATCH(B250,Vöruskrá!B:B,0))/1000,""))</f>
        <v>0</v>
      </c>
      <c r="P250" s="224"/>
      <c r="Q250" s="204"/>
      <c r="R250" s="27"/>
    </row>
    <row r="251" spans="1:18">
      <c r="A251" s="222"/>
      <c r="B251" s="222" t="s">
        <v>1270</v>
      </c>
      <c r="C251" s="223">
        <v>2933</v>
      </c>
      <c r="D251" s="219" t="str">
        <f>IF(B251="","",IFERROR(INDEX(Vöruskrá!F:F,MATCH(B251,Vöruskrá!B:B,0)),""))</f>
        <v>Repjuolía</v>
      </c>
      <c r="E251" s="219" t="str">
        <f>IF(B251="","",IFERROR(IF(INDEX(Vöruskrá!G:G,MATCH(B251,Vöruskrá!B:B,0))="","Engir skráðir",INDEX(Vöruskrá!G:G,MATCH(B251,Vöruskrá!B:B,0))),"Engir skráðir"))</f>
        <v>Engir skráðir</v>
      </c>
      <c r="F251" s="219">
        <f>IF(B251="","",IFERROR(INDEX(Vöruskrá!H:H,MATCH(B251,Vöruskrá!B:B,0)),""))</f>
        <v>0</v>
      </c>
      <c r="G251" s="220">
        <f>IF(OR(B251="",C251=""),"",IFERROR(INDEX(Vöruskrá!J:J,MATCH(B251,Vöruskrá!B:B,0))*C251/100000,""))</f>
        <v>26.396999999999998</v>
      </c>
      <c r="H251" s="220">
        <f>IF(OR(B251="",C251=""),"",IFERROR(INDEX(Vöruskrá!K:K,MATCH(B251,Vöruskrá!B:B,0))*C251/100000,""))</f>
        <v>2.9329999999999998</v>
      </c>
      <c r="I251" s="220">
        <f>IF(OR(B251="",C251=""),"",IFERROR(INDEX(Vöruskrá!L:L,MATCH(B251,Vöruskrá!B:B,0))*C251/100000,""))</f>
        <v>0.20530999999999999</v>
      </c>
      <c r="J251" s="220">
        <f>IF(OR(B251="",C251=""),"",IFERROR(INDEX(Vöruskrá!M:M,MATCH(B251,Vöruskrá!B:B,0))*C251/100000,""))</f>
        <v>1.90645</v>
      </c>
      <c r="K251" s="220">
        <f>IF(OR(B251="",C251=""),"",IFERROR(INDEX(Vöruskrá!N:N,MATCH(B251,Vöruskrá!B:B,0))*C251/100000,""))</f>
        <v>0.80657500000000004</v>
      </c>
      <c r="L251" s="220">
        <f>IF(OR(B251="",C251=""),"",IFERROR(INDEX(Vöruskrá!O:O,MATCH(B251,Vöruskrá!B:B,0))*C251/100000,""))</f>
        <v>0</v>
      </c>
      <c r="M251" s="220">
        <f>IF(OR(B251="",C251=""),"",IFERROR(INDEX(Vöruskrá!P:P,MATCH(B251,Vöruskrá!B:B,0))*C251/100000,""))</f>
        <v>0</v>
      </c>
      <c r="N251" s="220">
        <f>IF(OR(B251="",C251=""),"",IFERROR(INDEX(Vöruskrá!Q:Q,MATCH(B251,Vöruskrá!B:B,0))*C251/100000,""))</f>
        <v>0</v>
      </c>
      <c r="O251" s="221">
        <f>IF(OR(B251="",C251=""),"",IFERROR(C251/1000*INDEX(Vöruskrá!R:R,MATCH(B251,Vöruskrá!B:B,0))/1000,""))</f>
        <v>0</v>
      </c>
      <c r="P251" s="222"/>
      <c r="Q251" s="205"/>
      <c r="R251" s="6"/>
    </row>
    <row r="252" spans="1:18" ht="26">
      <c r="A252" s="176" t="s">
        <v>3693</v>
      </c>
      <c r="B252" s="176"/>
      <c r="C252" s="177"/>
      <c r="D252" s="216"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6" t="str" cm="1">
        <f t="array" ref="E252">IFERROR(_xlfn.TEXTJOIN(", ",TRUE,_xlfn.UNIQUE(_xlfn._xlws.FILTER(E253:E259,(E253:E259&lt;&gt;"Engir skráðir")*(E253:E259&lt;&gt;"")))),"Engir skráðir")</f>
        <v>Fiskur, Mjólk</v>
      </c>
      <c r="F252" s="216"/>
      <c r="G252" s="217">
        <f>IFERROR(SUM(G253:G259)/(SUM($C$253:$C$259)/100000),"")</f>
        <v>116.19747999999998</v>
      </c>
      <c r="H252" s="217">
        <f>IFERROR(SUM(H253:H259)/(SUM($C$253:$C$259)/100000),"")</f>
        <v>3.674455</v>
      </c>
      <c r="I252" s="217">
        <f>IFERROR(SUM(I253:I259)/(SUM($C$253:$C$259)/100000),"")</f>
        <v>0.51756100000000005</v>
      </c>
      <c r="J252" s="217">
        <f>IFERROR(SUM(J253:J259)/(SUM($C$253:$C$259)/100000),"")</f>
        <v>2.3449470000000003</v>
      </c>
      <c r="K252" s="217">
        <f>IFERROR(SUM(K253:K259)/(SUM($C$253:$C$259)/100000),"")</f>
        <v>1.0950170000000001</v>
      </c>
      <c r="L252" s="217">
        <f>IFERROR(SUM(L253:L259)/(SUM($C$253:$C$259)/100000),"")</f>
        <v>19.456706000000001</v>
      </c>
      <c r="M252" s="217">
        <f>IFERROR(SUM(M253:M259)/(SUM($C$253:$C$259)/100000),"")</f>
        <v>1.2516119999999999</v>
      </c>
      <c r="N252" s="217">
        <f>IFERROR(SUM(N253:N259)/(SUM($C$253:$C$259)/100000),"")</f>
        <v>7.3343000000000005E-2</v>
      </c>
      <c r="O252" s="218" t="str">
        <f>IF(OR(B252="",C252=""),"",IFERROR(C252/1000*INDEX(Vöruskrá!R:R,MATCH(B252,Vöruskrá!B:B,0))/1000,""))</f>
        <v/>
      </c>
      <c r="P252" s="176" t="s">
        <v>3694</v>
      </c>
      <c r="Q252" s="204"/>
      <c r="R252" s="27"/>
    </row>
    <row r="253" spans="1:18">
      <c r="A253" s="222"/>
      <c r="B253" s="222" t="s">
        <v>926</v>
      </c>
      <c r="C253" s="223">
        <v>82645</v>
      </c>
      <c r="D253" s="219" t="str">
        <f>IF(B253="","",IFERROR(INDEX(Vöruskrá!F:F,MATCH(B253,Vöruskrá!B:B,0)),""))</f>
        <v>Ýsa</v>
      </c>
      <c r="E253" s="219" t="str">
        <f>IF(B253="","",IFERROR(IF(INDEX(Vöruskrá!G:G,MATCH(B253,Vöruskrá!B:B,0))="","Engir skráðir",INDEX(Vöruskrá!G:G,MATCH(B253,Vöruskrá!B:B,0))),"Engir skráðir"))</f>
        <v>Fiskur</v>
      </c>
      <c r="F253" s="219">
        <f>IF(B253="","",IFERROR(INDEX(Vöruskrá!H:H,MATCH(B253,Vöruskrá!B:B,0)),""))</f>
        <v>0</v>
      </c>
      <c r="G253" s="220">
        <f>IF(OR(B253="",C253=""),"",IFERROR(INDEX(Vöruskrá!J:J,MATCH(B253,Vöruskrá!B:B,0))*C253/100000,""))</f>
        <v>82.644999999999996</v>
      </c>
      <c r="H253" s="220">
        <f>IF(OR(B253="",C253=""),"",IFERROR(INDEX(Vöruskrá!K:K,MATCH(B253,Vöruskrá!B:B,0))*C253/100000,""))</f>
        <v>0.57851499999999989</v>
      </c>
      <c r="I253" s="220">
        <f>IF(OR(B253="",C253=""),"",IFERROR(INDEX(Vöruskrá!L:L,MATCH(B253,Vöruskrá!B:B,0))*C253/100000,""))</f>
        <v>8.2644999999999996E-2</v>
      </c>
      <c r="J253" s="220">
        <f>IF(OR(B253="",C253=""),"",IFERROR(INDEX(Vöruskrá!M:M,MATCH(B253,Vöruskrá!B:B,0))*C253/100000,""))</f>
        <v>0</v>
      </c>
      <c r="K253" s="220">
        <f>IF(OR(B253="",C253=""),"",IFERROR(INDEX(Vöruskrá!N:N,MATCH(B253,Vöruskrá!B:B,0))*C253/100000,""))</f>
        <v>0</v>
      </c>
      <c r="L253" s="220">
        <f>IF(OR(B253="",C253=""),"",IFERROR(INDEX(Vöruskrá!O:O,MATCH(B253,Vöruskrá!B:B,0))*C253/100000,""))</f>
        <v>19.00835</v>
      </c>
      <c r="M253" s="220">
        <f>IF(OR(B253="",C253=""),"",IFERROR(INDEX(Vöruskrá!P:P,MATCH(B253,Vöruskrá!B:B,0))*C253/100000,""))</f>
        <v>0.24793499999999999</v>
      </c>
      <c r="N253" s="220">
        <f>IF(OR(B253="",C253=""),"",IFERROR(INDEX(Vöruskrá!Q:Q,MATCH(B253,Vöruskrá!B:B,0))*C253/100000,""))</f>
        <v>0</v>
      </c>
      <c r="O253" s="221">
        <f>IF(OR(B253="",C253=""),"",IFERROR(C253/1000*INDEX(Vöruskrá!R:R,MATCH(B253,Vöruskrá!B:B,0))/1000,""))</f>
        <v>0</v>
      </c>
      <c r="P253" s="222"/>
      <c r="Q253" s="205"/>
      <c r="R253" s="6"/>
    </row>
    <row r="254" spans="1:18">
      <c r="A254" s="224"/>
      <c r="B254" s="224" t="s">
        <v>827</v>
      </c>
      <c r="C254" s="225">
        <v>2066</v>
      </c>
      <c r="D254" s="219"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9" t="str">
        <f>IF(B254="","",IFERROR(IF(INDEX(Vöruskrá!G:G,MATCH(B254,Vöruskrá!B:B,0))="","Engir skráðir",INDEX(Vöruskrá!G:G,MATCH(B254,Vöruskrá!B:B,0))),"Engir skráðir"))</f>
        <v>Engir skráðir</v>
      </c>
      <c r="F254" s="219">
        <f>IF(B254="","",IFERROR(INDEX(Vöruskrá!H:H,MATCH(B254,Vöruskrá!B:B,0)),""))</f>
        <v>0</v>
      </c>
      <c r="G254" s="220">
        <f>IF(OR(B254="",C254=""),"",IFERROR(INDEX(Vöruskrá!J:J,MATCH(B254,Vöruskrá!B:B,0))*C254/100000,""))</f>
        <v>6.4872399999999999</v>
      </c>
      <c r="H254" s="220">
        <f>IF(OR(B254="",C254=""),"",IFERROR(INDEX(Vöruskrá!K:K,MATCH(B254,Vöruskrá!B:B,0))*C254/100000,""))</f>
        <v>0.61980000000000002</v>
      </c>
      <c r="I254" s="220">
        <f>IF(OR(B254="",C254=""),"",IFERROR(INDEX(Vöruskrá!L:L,MATCH(B254,Vöruskrá!B:B,0))*C254/100000,""))</f>
        <v>5.1650000000000001E-2</v>
      </c>
      <c r="J254" s="220">
        <f>IF(OR(B254="",C254=""),"",IFERROR(INDEX(Vöruskrá!M:M,MATCH(B254,Vöruskrá!B:B,0))*C254/100000,""))</f>
        <v>0.20660000000000001</v>
      </c>
      <c r="K254" s="220">
        <f>IF(OR(B254="",C254=""),"",IFERROR(INDEX(Vöruskrá!N:N,MATCH(B254,Vöruskrá!B:B,0))*C254/100000,""))</f>
        <v>0.109498</v>
      </c>
      <c r="L254" s="220">
        <f>IF(OR(B254="",C254=""),"",IFERROR(INDEX(Vöruskrá!O:O,MATCH(B254,Vöruskrá!B:B,0))*C254/100000,""))</f>
        <v>3.099E-2</v>
      </c>
      <c r="M254" s="220">
        <f>IF(OR(B254="",C254=""),"",IFERROR(INDEX(Vöruskrá!P:P,MATCH(B254,Vöruskrá!B:B,0))*C254/100000,""))</f>
        <v>0.16734599999999999</v>
      </c>
      <c r="N254" s="220">
        <f>IF(OR(B254="",C254=""),"",IFERROR(INDEX(Vöruskrá!Q:Q,MATCH(B254,Vöruskrá!B:B,0))*C254/100000,""))</f>
        <v>5.1650000000000001E-2</v>
      </c>
      <c r="O254" s="221">
        <f>IF(OR(B254="",C254=""),"",IFERROR(C254/1000*INDEX(Vöruskrá!R:R,MATCH(B254,Vöruskrá!B:B,0))/1000,""))</f>
        <v>0</v>
      </c>
      <c r="P254" s="224"/>
      <c r="Q254" s="204"/>
      <c r="R254" s="27"/>
    </row>
    <row r="255" spans="1:18">
      <c r="A255" s="222"/>
      <c r="B255" s="222" t="s">
        <v>870</v>
      </c>
      <c r="C255" s="223">
        <v>10331</v>
      </c>
      <c r="D255" s="219" t="str">
        <f>IF(B255="","",IFERROR(INDEX(Vöruskrá!F:F,MATCH(B255,Vöruskrá!B:B,0)),""))</f>
        <v>**Mjólk**, jógúrtgerlar.</v>
      </c>
      <c r="E255" s="219" t="str">
        <f>IF(B255="","",IFERROR(IF(INDEX(Vöruskrá!G:G,MATCH(B255,Vöruskrá!B:B,0))="","Engir skráðir",INDEX(Vöruskrá!G:G,MATCH(B255,Vöruskrá!B:B,0))),"Engir skráðir"))</f>
        <v>Mjólk</v>
      </c>
      <c r="F255" s="219">
        <f>IF(B255="","",IFERROR(INDEX(Vöruskrá!H:H,MATCH(B255,Vöruskrá!B:B,0)),""))</f>
        <v>0</v>
      </c>
      <c r="G255" s="220">
        <f>IF(OR(B255="",C255=""),"",IFERROR(INDEX(Vöruskrá!J:J,MATCH(B255,Vöruskrá!B:B,0))*C255/100000,""))</f>
        <v>6.6118399999999999</v>
      </c>
      <c r="H255" s="220">
        <f>IF(OR(B255="",C255=""),"",IFERROR(INDEX(Vöruskrá!K:K,MATCH(B255,Vöruskrá!B:B,0))*C255/100000,""))</f>
        <v>0.40290900000000002</v>
      </c>
      <c r="I255" s="220">
        <f>IF(OR(B255="",C255=""),"",IFERROR(INDEX(Vöruskrá!L:L,MATCH(B255,Vöruskrá!B:B,0))*C255/100000,""))</f>
        <v>0.23761299999999999</v>
      </c>
      <c r="J255" s="220">
        <f>IF(OR(B255="",C255=""),"",IFERROR(INDEX(Vöruskrá!M:M,MATCH(B255,Vöruskrá!B:B,0))*C255/100000,""))</f>
        <v>0.38224700000000006</v>
      </c>
      <c r="K255" s="220">
        <f>IF(OR(B255="",C255=""),"",IFERROR(INDEX(Vöruskrá!N:N,MATCH(B255,Vöruskrá!B:B,0))*C255/100000,""))</f>
        <v>0.38224700000000006</v>
      </c>
      <c r="L255" s="220">
        <f>IF(OR(B255="",C255=""),"",IFERROR(INDEX(Vöruskrá!O:O,MATCH(B255,Vöruskrá!B:B,0))*C255/100000,""))</f>
        <v>0.35125400000000001</v>
      </c>
      <c r="M255" s="220">
        <f>IF(OR(B255="",C255=""),"",IFERROR(INDEX(Vöruskrá!P:P,MATCH(B255,Vöruskrá!B:B,0))*C255/100000,""))</f>
        <v>1.0331000000000002E-2</v>
      </c>
      <c r="N255" s="220">
        <f>IF(OR(B255="",C255=""),"",IFERROR(INDEX(Vöruskrá!Q:Q,MATCH(B255,Vöruskrá!B:B,0))*C255/100000,""))</f>
        <v>0</v>
      </c>
      <c r="O255" s="221">
        <f>IF(OR(B255="",C255=""),"",IFERROR(C255/1000*INDEX(Vöruskrá!R:R,MATCH(B255,Vöruskrá!B:B,0))/1000,""))</f>
        <v>0</v>
      </c>
      <c r="P255" s="222"/>
      <c r="Q255" s="205"/>
      <c r="R255" s="6"/>
    </row>
    <row r="256" spans="1:18">
      <c r="A256" s="224"/>
      <c r="B256" s="224" t="s">
        <v>1017</v>
      </c>
      <c r="C256" s="225">
        <v>1033</v>
      </c>
      <c r="D256" s="219" t="str">
        <f>IF(B256="","",IFERROR(INDEX(Vöruskrá!F:F,MATCH(B256,Vöruskrá!B:B,0)),""))</f>
        <v>Hvítlaukur</v>
      </c>
      <c r="E256" s="219" t="str">
        <f>IF(B256="","",IFERROR(IF(INDEX(Vöruskrá!G:G,MATCH(B256,Vöruskrá!B:B,0))="","Engir skráðir",INDEX(Vöruskrá!G:G,MATCH(B256,Vöruskrá!B:B,0))),"Engir skráðir"))</f>
        <v>Engir skráðir</v>
      </c>
      <c r="F256" s="219">
        <f>IF(B256="","",IFERROR(INDEX(Vöruskrá!H:H,MATCH(B256,Vöruskrá!B:B,0)),""))</f>
        <v>0</v>
      </c>
      <c r="G256" s="220">
        <f>IF(OR(B256="",C256=""),"",IFERROR(INDEX(Vöruskrá!J:J,MATCH(B256,Vöruskrá!B:B,0))*C256/100000,""))</f>
        <v>1.5391699999999999</v>
      </c>
      <c r="H256" s="220">
        <f>IF(OR(B256="",C256=""),"",IFERROR(INDEX(Vöruskrá!K:K,MATCH(B256,Vöruskrá!B:B,0))*C256/100000,""))</f>
        <v>5.1650000000000003E-3</v>
      </c>
      <c r="I256" s="220">
        <f>IF(OR(B256="",C256=""),"",IFERROR(INDEX(Vöruskrá!L:L,MATCH(B256,Vöruskrá!B:B,0))*C256/100000,""))</f>
        <v>1.0330000000000001E-3</v>
      </c>
      <c r="J256" s="220">
        <f>IF(OR(B256="",C256=""),"",IFERROR(INDEX(Vöruskrá!M:M,MATCH(B256,Vöruskrá!B:B,0))*C256/100000,""))</f>
        <v>0.34192300000000003</v>
      </c>
      <c r="K256" s="220">
        <f>IF(OR(B256="",C256=""),"",IFERROR(INDEX(Vöruskrá!N:N,MATCH(B256,Vöruskrá!B:B,0))*C256/100000,""))</f>
        <v>1.0330000000000001E-2</v>
      </c>
      <c r="L256" s="220">
        <f>IF(OR(B256="",C256=""),"",IFERROR(INDEX(Vöruskrá!O:O,MATCH(B256,Vöruskrá!B:B,0))*C256/100000,""))</f>
        <v>6.6112000000000004E-2</v>
      </c>
      <c r="M256" s="220">
        <f>IF(OR(B256="",C256=""),"",IFERROR(INDEX(Vöruskrá!P:P,MATCH(B256,Vöruskrá!B:B,0))*C256/100000,""))</f>
        <v>0</v>
      </c>
      <c r="N256" s="220">
        <f>IF(OR(B256="",C256=""),"",IFERROR(INDEX(Vöruskrá!Q:Q,MATCH(B256,Vöruskrá!B:B,0))*C256/100000,""))</f>
        <v>2.1693E-2</v>
      </c>
      <c r="O256" s="221">
        <f>IF(OR(B256="",C256=""),"",IFERROR(C256/1000*INDEX(Vöruskrá!R:R,MATCH(B256,Vöruskrá!B:B,0))/1000,""))</f>
        <v>0</v>
      </c>
      <c r="P256" s="224"/>
      <c r="Q256" s="204"/>
      <c r="R256" s="27"/>
    </row>
    <row r="257" spans="1:18">
      <c r="A257" s="222"/>
      <c r="B257" s="222" t="s">
        <v>833</v>
      </c>
      <c r="C257" s="223">
        <v>1033</v>
      </c>
      <c r="D257" s="219" t="str">
        <f>IF(B257="","",IFERROR(INDEX(Vöruskrá!F:F,MATCH(B257,Vöruskrá!B:B,0)),""))</f>
        <v>Þykktur sítrónusafi, vatn.</v>
      </c>
      <c r="E257" s="219" t="str">
        <f>IF(B257="","",IFERROR(IF(INDEX(Vöruskrá!G:G,MATCH(B257,Vöruskrá!B:B,0))="","Engir skráðir",INDEX(Vöruskrá!G:G,MATCH(B257,Vöruskrá!B:B,0))),"Engir skráðir"))</f>
        <v>Engir skráðir</v>
      </c>
      <c r="F257" s="219">
        <f>IF(B257="","",IFERROR(INDEX(Vöruskrá!H:H,MATCH(B257,Vöruskrá!B:B,0)),""))</f>
        <v>0</v>
      </c>
      <c r="G257" s="220">
        <f>IF(OR(B257="",C257=""),"",IFERROR(INDEX(Vöruskrá!J:J,MATCH(B257,Vöruskrá!B:B,0))*C257/100000,""))</f>
        <v>0.32023000000000001</v>
      </c>
      <c r="H257" s="220">
        <f>IF(OR(B257="",C257=""),"",IFERROR(INDEX(Vöruskrá!K:K,MATCH(B257,Vöruskrá!B:B,0))*C257/100000,""))</f>
        <v>2.0660000000000001E-3</v>
      </c>
      <c r="I257" s="220">
        <f>IF(OR(B257="",C257=""),"",IFERROR(INDEX(Vöruskrá!L:L,MATCH(B257,Vöruskrá!B:B,0))*C257/100000,""))</f>
        <v>0</v>
      </c>
      <c r="J257" s="220">
        <f>IF(OR(B257="",C257=""),"",IFERROR(INDEX(Vöruskrá!M:M,MATCH(B257,Vöruskrá!B:B,0))*C257/100000,""))</f>
        <v>7.1277000000000007E-2</v>
      </c>
      <c r="K257" s="220">
        <f>IF(OR(B257="",C257=""),"",IFERROR(INDEX(Vöruskrá!N:N,MATCH(B257,Vöruskrá!B:B,0))*C257/100000,""))</f>
        <v>2.4791999999999998E-2</v>
      </c>
      <c r="L257" s="220">
        <f>IF(OR(B257="",C257=""),"",IFERROR(INDEX(Vöruskrá!O:O,MATCH(B257,Vöruskrá!B:B,0))*C257/100000,""))</f>
        <v>0</v>
      </c>
      <c r="M257" s="220">
        <f>IF(OR(B257="",C257=""),"",IFERROR(INDEX(Vöruskrá!P:P,MATCH(B257,Vöruskrá!B:B,0))*C257/100000,""))</f>
        <v>0</v>
      </c>
      <c r="N257" s="220">
        <f>IF(OR(B257="",C257=""),"",IFERROR(INDEX(Vöruskrá!Q:Q,MATCH(B257,Vöruskrá!B:B,0))*C257/100000,""))</f>
        <v>0</v>
      </c>
      <c r="O257" s="221">
        <f>IF(OR(B257="",C257=""),"",IFERROR(C257/1000*INDEX(Vöruskrá!R:R,MATCH(B257,Vöruskrá!B:B,0))/1000,""))</f>
        <v>0</v>
      </c>
      <c r="P257" s="222"/>
      <c r="Q257" s="205"/>
      <c r="R257" s="6"/>
    </row>
    <row r="258" spans="1:18">
      <c r="A258" s="224"/>
      <c r="B258" s="224" t="s">
        <v>299</v>
      </c>
      <c r="C258" s="225">
        <v>826</v>
      </c>
      <c r="D258" s="219" t="str">
        <f>IF(B258="","",IFERROR(INDEX(Vöruskrá!F:F,MATCH(B258,Vöruskrá!B:B,0)),""))</f>
        <v>Salt (salt, kekkjavarnarefni E535, lyftiefni E500).</v>
      </c>
      <c r="E258" s="219" t="str">
        <f>IF(B258="","",IFERROR(IF(INDEX(Vöruskrá!G:G,MATCH(B258,Vöruskrá!B:B,0))="","Engir skráðir",INDEX(Vöruskrá!G:G,MATCH(B258,Vöruskrá!B:B,0))),"Engir skráðir"))</f>
        <v>Engir skráðir</v>
      </c>
      <c r="F258" s="219" t="str">
        <f>IF(B258="","",IFERROR(INDEX(Vöruskrá!H:H,MATCH(B258,Vöruskrá!B:B,0)),""))</f>
        <v>Framleitt á svæði þar sem unnið er með mjólk, glúten, egg, sesam, sellerí, soja og sinnep.</v>
      </c>
      <c r="G258" s="220">
        <f>IF(OR(B258="",C258=""),"",IFERROR(INDEX(Vöruskrá!J:J,MATCH(B258,Vöruskrá!B:B,0))*C258/100000,""))</f>
        <v>0</v>
      </c>
      <c r="H258" s="220">
        <f>IF(OR(B258="",C258=""),"",IFERROR(INDEX(Vöruskrá!K:K,MATCH(B258,Vöruskrá!B:B,0))*C258/100000,""))</f>
        <v>0</v>
      </c>
      <c r="I258" s="220">
        <f>IF(OR(B258="",C258=""),"",IFERROR(INDEX(Vöruskrá!L:L,MATCH(B258,Vöruskrá!B:B,0))*C258/100000,""))</f>
        <v>0</v>
      </c>
      <c r="J258" s="220">
        <f>IF(OR(B258="",C258=""),"",IFERROR(INDEX(Vöruskrá!M:M,MATCH(B258,Vöruskrá!B:B,0))*C258/100000,""))</f>
        <v>0</v>
      </c>
      <c r="K258" s="220">
        <f>IF(OR(B258="",C258=""),"",IFERROR(INDEX(Vöruskrá!N:N,MATCH(B258,Vöruskrá!B:B,0))*C258/100000,""))</f>
        <v>0</v>
      </c>
      <c r="L258" s="220">
        <f>IF(OR(B258="",C258=""),"",IFERROR(INDEX(Vöruskrá!O:O,MATCH(B258,Vöruskrá!B:B,0))*C258/100000,""))</f>
        <v>0</v>
      </c>
      <c r="M258" s="220">
        <f>IF(OR(B258="",C258=""),"",IFERROR(INDEX(Vöruskrá!P:P,MATCH(B258,Vöruskrá!B:B,0))*C258/100000,""))</f>
        <v>0.82599999999999996</v>
      </c>
      <c r="N258" s="220">
        <f>IF(OR(B258="",C258=""),"",IFERROR(INDEX(Vöruskrá!Q:Q,MATCH(B258,Vöruskrá!B:B,0))*C258/100000,""))</f>
        <v>0</v>
      </c>
      <c r="O258" s="221">
        <f>IF(OR(B258="",C258=""),"",IFERROR(C258/1000*INDEX(Vöruskrá!R:R,MATCH(B258,Vöruskrá!B:B,0))/1000,""))</f>
        <v>0</v>
      </c>
      <c r="P258" s="224"/>
      <c r="Q258" s="204"/>
      <c r="R258" s="27"/>
    </row>
    <row r="259" spans="1:18">
      <c r="A259" s="222"/>
      <c r="B259" s="222" t="s">
        <v>1270</v>
      </c>
      <c r="C259" s="223">
        <v>2066</v>
      </c>
      <c r="D259" s="219" t="str">
        <f>IF(B259="","",IFERROR(INDEX(Vöruskrá!F:F,MATCH(B259,Vöruskrá!B:B,0)),""))</f>
        <v>Repjuolía</v>
      </c>
      <c r="E259" s="219" t="str">
        <f>IF(B259="","",IFERROR(IF(INDEX(Vöruskrá!G:G,MATCH(B259,Vöruskrá!B:B,0))="","Engir skráðir",INDEX(Vöruskrá!G:G,MATCH(B259,Vöruskrá!B:B,0))),"Engir skráðir"))</f>
        <v>Engir skráðir</v>
      </c>
      <c r="F259" s="219">
        <f>IF(B259="","",IFERROR(INDEX(Vöruskrá!H:H,MATCH(B259,Vöruskrá!B:B,0)),""))</f>
        <v>0</v>
      </c>
      <c r="G259" s="220">
        <f>IF(OR(B259="",C259=""),"",IFERROR(INDEX(Vöruskrá!J:J,MATCH(B259,Vöruskrá!B:B,0))*C259/100000,""))</f>
        <v>18.594000000000001</v>
      </c>
      <c r="H259" s="220">
        <f>IF(OR(B259="",C259=""),"",IFERROR(INDEX(Vöruskrá!K:K,MATCH(B259,Vöruskrá!B:B,0))*C259/100000,""))</f>
        <v>2.0659999999999998</v>
      </c>
      <c r="I259" s="220">
        <f>IF(OR(B259="",C259=""),"",IFERROR(INDEX(Vöruskrá!L:L,MATCH(B259,Vöruskrá!B:B,0))*C259/100000,""))</f>
        <v>0.14462</v>
      </c>
      <c r="J259" s="220">
        <f>IF(OR(B259="",C259=""),"",IFERROR(INDEX(Vöruskrá!M:M,MATCH(B259,Vöruskrá!B:B,0))*C259/100000,""))</f>
        <v>1.3429</v>
      </c>
      <c r="K259" s="220">
        <f>IF(OR(B259="",C259=""),"",IFERROR(INDEX(Vöruskrá!N:N,MATCH(B259,Vöruskrá!B:B,0))*C259/100000,""))</f>
        <v>0.56815000000000004</v>
      </c>
      <c r="L259" s="220">
        <f>IF(OR(B259="",C259=""),"",IFERROR(INDEX(Vöruskrá!O:O,MATCH(B259,Vöruskrá!B:B,0))*C259/100000,""))</f>
        <v>0</v>
      </c>
      <c r="M259" s="220">
        <f>IF(OR(B259="",C259=""),"",IFERROR(INDEX(Vöruskrá!P:P,MATCH(B259,Vöruskrá!B:B,0))*C259/100000,""))</f>
        <v>0</v>
      </c>
      <c r="N259" s="220">
        <f>IF(OR(B259="",C259=""),"",IFERROR(INDEX(Vöruskrá!Q:Q,MATCH(B259,Vöruskrá!B:B,0))*C259/100000,""))</f>
        <v>0</v>
      </c>
      <c r="O259" s="221">
        <f>IF(OR(B259="",C259=""),"",IFERROR(C259/1000*INDEX(Vöruskrá!R:R,MATCH(B259,Vöruskrá!B:B,0))/1000,""))</f>
        <v>0</v>
      </c>
      <c r="P259" s="222"/>
      <c r="Q259" s="205"/>
      <c r="R259" s="6"/>
    </row>
    <row r="260" spans="1:18" ht="39">
      <c r="A260" s="176" t="s">
        <v>3695</v>
      </c>
      <c r="B260" s="176"/>
      <c r="C260" s="177"/>
      <c r="D260" s="216"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6" t="str" cm="1">
        <f t="array" ref="E260">IFERROR(_xlfn.TEXTJOIN(", ",TRUE,_xlfn.UNIQUE(_xlfn._xlws.FILTER(E261:E274,(E261:E274&lt;&gt;"Engir skráðir")*(E261:E274&lt;&gt;"")))),"Engir skráðir")</f>
        <v>Fiskur, Getur innihaldið súlfít, Engir, Sinnep</v>
      </c>
      <c r="F260" s="216"/>
      <c r="G260" s="217">
        <f>IFERROR(SUM(G261:G274)/(SUM($C$261:$C$274)/100000),"")</f>
        <v>114.61249999999998</v>
      </c>
      <c r="H260" s="217">
        <f>IFERROR(SUM(H261:H274)/(SUM($C$261:$C$274)/100000),"")</f>
        <v>4.1572500000000003</v>
      </c>
      <c r="I260" s="217">
        <f>IFERROR(SUM(I261:I274)/(SUM($C$261:$C$274)/100000),"")</f>
        <v>2.6090499999999999</v>
      </c>
      <c r="J260" s="217">
        <f>IFERROR(SUM(J261:J274)/(SUM($C$261:$C$274)/100000),"")</f>
        <v>9.6269000000000009</v>
      </c>
      <c r="K260" s="217">
        <f>IFERROR(SUM(K261:K274)/(SUM($C$261:$C$274)/100000),"")</f>
        <v>0.96038000000000001</v>
      </c>
      <c r="L260" s="217">
        <f>IFERROR(SUM(L261:L274)/(SUM($C$261:$C$274)/100000),"")</f>
        <v>10.005419999999999</v>
      </c>
      <c r="M260" s="217">
        <f>IFERROR(SUM(M261:M274)/(SUM($C$261:$C$274)/100000),"")</f>
        <v>1.1302000000000001</v>
      </c>
      <c r="N260" s="217">
        <f>IFERROR(SUM(N261:N274)/(SUM($C$261:$C$274)/100000),"")</f>
        <v>0.91955000000000009</v>
      </c>
      <c r="O260" s="218" t="str">
        <f>IF(OR(B260="",C260=""),"",IFERROR(C260/1000*INDEX(Vöruskrá!R:R,MATCH(B260,Vöruskrá!B:B,0))/1000,""))</f>
        <v/>
      </c>
      <c r="P260" s="176" t="s">
        <v>3696</v>
      </c>
      <c r="Q260" s="204"/>
      <c r="R260" s="27"/>
    </row>
    <row r="261" spans="1:18">
      <c r="A261" s="222"/>
      <c r="B261" s="222" t="s">
        <v>926</v>
      </c>
      <c r="C261" s="223">
        <v>40000</v>
      </c>
      <c r="D261" s="219" t="str">
        <f>IF(B261="","",IFERROR(INDEX(Vöruskrá!F:F,MATCH(B261,Vöruskrá!B:B,0)),""))</f>
        <v>Ýsa</v>
      </c>
      <c r="E261" s="219" t="str">
        <f>IF(B261="","",IFERROR(IF(INDEX(Vöruskrá!G:G,MATCH(B261,Vöruskrá!B:B,0))="","Engir skráðir",INDEX(Vöruskrá!G:G,MATCH(B261,Vöruskrá!B:B,0))),"Engir skráðir"))</f>
        <v>Fiskur</v>
      </c>
      <c r="F261" s="219">
        <f>IF(B261="","",IFERROR(INDEX(Vöruskrá!H:H,MATCH(B261,Vöruskrá!B:B,0)),""))</f>
        <v>0</v>
      </c>
      <c r="G261" s="220">
        <f>IF(OR(B261="",C261=""),"",IFERROR(INDEX(Vöruskrá!J:J,MATCH(B261,Vöruskrá!B:B,0))*C261/100000,""))</f>
        <v>40</v>
      </c>
      <c r="H261" s="220">
        <f>IF(OR(B261="",C261=""),"",IFERROR(INDEX(Vöruskrá!K:K,MATCH(B261,Vöruskrá!B:B,0))*C261/100000,""))</f>
        <v>0.28000000000000003</v>
      </c>
      <c r="I261" s="220">
        <f>IF(OR(B261="",C261=""),"",IFERROR(INDEX(Vöruskrá!L:L,MATCH(B261,Vöruskrá!B:B,0))*C261/100000,""))</f>
        <v>0.04</v>
      </c>
      <c r="J261" s="220">
        <f>IF(OR(B261="",C261=""),"",IFERROR(INDEX(Vöruskrá!M:M,MATCH(B261,Vöruskrá!B:B,0))*C261/100000,""))</f>
        <v>0</v>
      </c>
      <c r="K261" s="220">
        <f>IF(OR(B261="",C261=""),"",IFERROR(INDEX(Vöruskrá!N:N,MATCH(B261,Vöruskrá!B:B,0))*C261/100000,""))</f>
        <v>0</v>
      </c>
      <c r="L261" s="220">
        <f>IF(OR(B261="",C261=""),"",IFERROR(INDEX(Vöruskrá!O:O,MATCH(B261,Vöruskrá!B:B,0))*C261/100000,""))</f>
        <v>9.1999999999999993</v>
      </c>
      <c r="M261" s="220">
        <f>IF(OR(B261="",C261=""),"",IFERROR(INDEX(Vöruskrá!P:P,MATCH(B261,Vöruskrá!B:B,0))*C261/100000,""))</f>
        <v>0.12</v>
      </c>
      <c r="N261" s="220">
        <f>IF(OR(B261="",C261=""),"",IFERROR(INDEX(Vöruskrá!Q:Q,MATCH(B261,Vöruskrá!B:B,0))*C261/100000,""))</f>
        <v>0</v>
      </c>
      <c r="O261" s="221">
        <f>IF(OR(B261="",C261=""),"",IFERROR(C261/1000*INDEX(Vöruskrá!R:R,MATCH(B261,Vöruskrá!B:B,0))/1000,""))</f>
        <v>0</v>
      </c>
      <c r="P261" s="222"/>
      <c r="Q261" s="205"/>
      <c r="R261" s="6"/>
    </row>
    <row r="262" spans="1:18">
      <c r="A262" s="224"/>
      <c r="B262" s="224" t="s">
        <v>635</v>
      </c>
      <c r="C262" s="225">
        <v>36000</v>
      </c>
      <c r="D262" s="219" t="str">
        <f>IF(B262="","",IFERROR(INDEX(Vöruskrá!F:F,MATCH(B262,Vöruskrá!B:B,0)),""))</f>
        <v>Kartöflur</v>
      </c>
      <c r="E262" s="219" t="str">
        <f>IF(B262="","",IFERROR(IF(INDEX(Vöruskrá!G:G,MATCH(B262,Vöruskrá!B:B,0))="","Engir skráðir",INDEX(Vöruskrá!G:G,MATCH(B262,Vöruskrá!B:B,0))),"Engir skráðir"))</f>
        <v>Engir skráðir</v>
      </c>
      <c r="F262" s="219">
        <f>IF(B262="","",IFERROR(INDEX(Vöruskrá!H:H,MATCH(B262,Vöruskrá!B:B,0)),""))</f>
        <v>0</v>
      </c>
      <c r="G262" s="220">
        <f>IF(OR(B262="",C262=""),"",IFERROR(INDEX(Vöruskrá!J:J,MATCH(B262,Vöruskrá!B:B,0))*C262/100000,""))</f>
        <v>27.72</v>
      </c>
      <c r="H262" s="220">
        <f>IF(OR(B262="",C262=""),"",IFERROR(INDEX(Vöruskrá!K:K,MATCH(B262,Vöruskrá!B:B,0))*C262/100000,""))</f>
        <v>3.5999999999999997E-2</v>
      </c>
      <c r="I262" s="220">
        <f>IF(OR(B262="",C262=""),"",IFERROR(INDEX(Vöruskrá!L:L,MATCH(B262,Vöruskrá!B:B,0))*C262/100000,""))</f>
        <v>0</v>
      </c>
      <c r="J262" s="220">
        <f>IF(OR(B262="",C262=""),"",IFERROR(INDEX(Vöruskrá!M:M,MATCH(B262,Vöruskrá!B:B,0))*C262/100000,""))</f>
        <v>6.12</v>
      </c>
      <c r="K262" s="220">
        <f>IF(OR(B262="",C262=""),"",IFERROR(INDEX(Vöruskrá!N:N,MATCH(B262,Vöruskrá!B:B,0))*C262/100000,""))</f>
        <v>0.28799999999999998</v>
      </c>
      <c r="L262" s="220">
        <f>IF(OR(B262="",C262=""),"",IFERROR(INDEX(Vöruskrá!O:O,MATCH(B262,Vöruskrá!B:B,0))*C262/100000,""))</f>
        <v>0.72</v>
      </c>
      <c r="M262" s="220">
        <f>IF(OR(B262="",C262=""),"",IFERROR(INDEX(Vöruskrá!P:P,MATCH(B262,Vöruskrá!B:B,0))*C262/100000,""))</f>
        <v>0</v>
      </c>
      <c r="N262" s="220">
        <f>IF(OR(B262="",C262=""),"",IFERROR(INDEX(Vöruskrá!Q:Q,MATCH(B262,Vöruskrá!B:B,0))*C262/100000,""))</f>
        <v>0.79200000000000004</v>
      </c>
      <c r="O262" s="221">
        <f>IF(OR(B262="",C262=""),"",IFERROR(C262/1000*INDEX(Vöruskrá!R:R,MATCH(B262,Vöruskrá!B:B,0))/1000,""))</f>
        <v>0</v>
      </c>
      <c r="P262" s="224"/>
      <c r="Q262" s="204"/>
      <c r="R262" s="27"/>
    </row>
    <row r="263" spans="1:18">
      <c r="A263" s="222"/>
      <c r="B263" s="222" t="s">
        <v>1010</v>
      </c>
      <c r="C263" s="223">
        <v>4500</v>
      </c>
      <c r="D263" s="219" t="str">
        <f>IF(B263="","",IFERROR(INDEX(Vöruskrá!F:F,MATCH(B263,Vöruskrá!B:B,0)),""))</f>
        <v>Laukur</v>
      </c>
      <c r="E263" s="219" t="str">
        <f>IF(B263="","",IFERROR(IF(INDEX(Vöruskrá!G:G,MATCH(B263,Vöruskrá!B:B,0))="","Engir skráðir",INDEX(Vöruskrá!G:G,MATCH(B263,Vöruskrá!B:B,0))),"Engir skráðir"))</f>
        <v>Engir skráðir</v>
      </c>
      <c r="F263" s="219">
        <f>IF(B263="","",IFERROR(INDEX(Vöruskrá!H:H,MATCH(B263,Vöruskrá!B:B,0)),""))</f>
        <v>0</v>
      </c>
      <c r="G263" s="220">
        <f>IF(OR(B263="",C263=""),"",IFERROR(INDEX(Vöruskrá!J:J,MATCH(B263,Vöruskrá!B:B,0))*C263/100000,""))</f>
        <v>1.8</v>
      </c>
      <c r="H263" s="220">
        <f>IF(OR(B263="",C263=""),"",IFERROR(INDEX(Vöruskrá!K:K,MATCH(B263,Vöruskrá!B:B,0))*C263/100000,""))</f>
        <v>4.4999999999999997E-3</v>
      </c>
      <c r="I263" s="220">
        <f>IF(OR(B263="",C263=""),"",IFERROR(INDEX(Vöruskrá!L:L,MATCH(B263,Vöruskrá!B:B,0))*C263/100000,""))</f>
        <v>0</v>
      </c>
      <c r="J263" s="220">
        <f>IF(OR(B263="",C263=""),"",IFERROR(INDEX(Vöruskrá!M:M,MATCH(B263,Vöruskrá!B:B,0))*C263/100000,""))</f>
        <v>0.41849999999999998</v>
      </c>
      <c r="K263" s="220">
        <f>IF(OR(B263="",C263=""),"",IFERROR(INDEX(Vöruskrá!N:N,MATCH(B263,Vöruskrá!B:B,0))*C263/100000,""))</f>
        <v>0.189</v>
      </c>
      <c r="L263" s="220">
        <f>IF(OR(B263="",C263=""),"",IFERROR(INDEX(Vöruskrá!O:O,MATCH(B263,Vöruskrá!B:B,0))*C263/100000,""))</f>
        <v>4.9500000000000002E-2</v>
      </c>
      <c r="M263" s="220">
        <f>IF(OR(B263="",C263=""),"",IFERROR(INDEX(Vöruskrá!P:P,MATCH(B263,Vöruskrá!B:B,0))*C263/100000,""))</f>
        <v>0</v>
      </c>
      <c r="N263" s="220">
        <f>IF(OR(B263="",C263=""),"",IFERROR(INDEX(Vöruskrá!Q:Q,MATCH(B263,Vöruskrá!B:B,0))*C263/100000,""))</f>
        <v>7.6499999999999999E-2</v>
      </c>
      <c r="O263" s="221">
        <f>IF(OR(B263="",C263=""),"",IFERROR(C263/1000*INDEX(Vöruskrá!R:R,MATCH(B263,Vöruskrá!B:B,0))/1000,""))</f>
        <v>0</v>
      </c>
      <c r="P263" s="222"/>
      <c r="Q263" s="205"/>
      <c r="R263" s="6"/>
    </row>
    <row r="264" spans="1:18">
      <c r="A264" s="224"/>
      <c r="B264" s="224" t="s">
        <v>1270</v>
      </c>
      <c r="C264" s="225">
        <v>800</v>
      </c>
      <c r="D264" s="219" t="str">
        <f>IF(B264="","",IFERROR(INDEX(Vöruskrá!F:F,MATCH(B264,Vöruskrá!B:B,0)),""))</f>
        <v>Repjuolía</v>
      </c>
      <c r="E264" s="219" t="str">
        <f>IF(B264="","",IFERROR(IF(INDEX(Vöruskrá!G:G,MATCH(B264,Vöruskrá!B:B,0))="","Engir skráðir",INDEX(Vöruskrá!G:G,MATCH(B264,Vöruskrá!B:B,0))),"Engir skráðir"))</f>
        <v>Engir skráðir</v>
      </c>
      <c r="F264" s="219">
        <f>IF(B264="","",IFERROR(INDEX(Vöruskrá!H:H,MATCH(B264,Vöruskrá!B:B,0)),""))</f>
        <v>0</v>
      </c>
      <c r="G264" s="220">
        <f>IF(OR(B264="",C264=""),"",IFERROR(INDEX(Vöruskrá!J:J,MATCH(B264,Vöruskrá!B:B,0))*C264/100000,""))</f>
        <v>7.2</v>
      </c>
      <c r="H264" s="220">
        <f>IF(OR(B264="",C264=""),"",IFERROR(INDEX(Vöruskrá!K:K,MATCH(B264,Vöruskrá!B:B,0))*C264/100000,""))</f>
        <v>0.8</v>
      </c>
      <c r="I264" s="220">
        <f>IF(OR(B264="",C264=""),"",IFERROR(INDEX(Vöruskrá!L:L,MATCH(B264,Vöruskrá!B:B,0))*C264/100000,""))</f>
        <v>5.6000000000000001E-2</v>
      </c>
      <c r="J264" s="220">
        <f>IF(OR(B264="",C264=""),"",IFERROR(INDEX(Vöruskrá!M:M,MATCH(B264,Vöruskrá!B:B,0))*C264/100000,""))</f>
        <v>0.52</v>
      </c>
      <c r="K264" s="220">
        <f>IF(OR(B264="",C264=""),"",IFERROR(INDEX(Vöruskrá!N:N,MATCH(B264,Vöruskrá!B:B,0))*C264/100000,""))</f>
        <v>0.22</v>
      </c>
      <c r="L264" s="220">
        <f>IF(OR(B264="",C264=""),"",IFERROR(INDEX(Vöruskrá!O:O,MATCH(B264,Vöruskrá!B:B,0))*C264/100000,""))</f>
        <v>0</v>
      </c>
      <c r="M264" s="220">
        <f>IF(OR(B264="",C264=""),"",IFERROR(INDEX(Vöruskrá!P:P,MATCH(B264,Vöruskrá!B:B,0))*C264/100000,""))</f>
        <v>0</v>
      </c>
      <c r="N264" s="220">
        <f>IF(OR(B264="",C264=""),"",IFERROR(INDEX(Vöruskrá!Q:Q,MATCH(B264,Vöruskrá!B:B,0))*C264/100000,""))</f>
        <v>0</v>
      </c>
      <c r="O264" s="221">
        <f>IF(OR(B264="",C264=""),"",IFERROR(C264/1000*INDEX(Vöruskrá!R:R,MATCH(B264,Vöruskrá!B:B,0))/1000,""))</f>
        <v>0</v>
      </c>
      <c r="P264" s="224"/>
      <c r="Q264" s="204"/>
      <c r="R264" s="27"/>
    </row>
    <row r="265" spans="1:18">
      <c r="A265" s="222"/>
      <c r="B265" s="222" t="s">
        <v>299</v>
      </c>
      <c r="C265" s="223">
        <v>1000</v>
      </c>
      <c r="D265" s="219" t="str">
        <f>IF(B265="","",IFERROR(INDEX(Vöruskrá!F:F,MATCH(B265,Vöruskrá!B:B,0)),""))</f>
        <v>Salt (salt, kekkjavarnarefni E535, lyftiefni E500).</v>
      </c>
      <c r="E265" s="219" t="str">
        <f>IF(B265="","",IFERROR(IF(INDEX(Vöruskrá!G:G,MATCH(B265,Vöruskrá!B:B,0))="","Engir skráðir",INDEX(Vöruskrá!G:G,MATCH(B265,Vöruskrá!B:B,0))),"Engir skráðir"))</f>
        <v>Engir skráðir</v>
      </c>
      <c r="F265" s="219" t="str">
        <f>IF(B265="","",IFERROR(INDEX(Vöruskrá!H:H,MATCH(B265,Vöruskrá!B:B,0)),""))</f>
        <v>Framleitt á svæði þar sem unnið er með mjólk, glúten, egg, sesam, sellerí, soja og sinnep.</v>
      </c>
      <c r="G265" s="220">
        <f>IF(OR(B265="",C265=""),"",IFERROR(INDEX(Vöruskrá!J:J,MATCH(B265,Vöruskrá!B:B,0))*C265/100000,""))</f>
        <v>0</v>
      </c>
      <c r="H265" s="220">
        <f>IF(OR(B265="",C265=""),"",IFERROR(INDEX(Vöruskrá!K:K,MATCH(B265,Vöruskrá!B:B,0))*C265/100000,""))</f>
        <v>0</v>
      </c>
      <c r="I265" s="220">
        <f>IF(OR(B265="",C265=""),"",IFERROR(INDEX(Vöruskrá!L:L,MATCH(B265,Vöruskrá!B:B,0))*C265/100000,""))</f>
        <v>0</v>
      </c>
      <c r="J265" s="220">
        <f>IF(OR(B265="",C265=""),"",IFERROR(INDEX(Vöruskrá!M:M,MATCH(B265,Vöruskrá!B:B,0))*C265/100000,""))</f>
        <v>0</v>
      </c>
      <c r="K265" s="220">
        <f>IF(OR(B265="",C265=""),"",IFERROR(INDEX(Vöruskrá!N:N,MATCH(B265,Vöruskrá!B:B,0))*C265/100000,""))</f>
        <v>0</v>
      </c>
      <c r="L265" s="220">
        <f>IF(OR(B265="",C265=""),"",IFERROR(INDEX(Vöruskrá!O:O,MATCH(B265,Vöruskrá!B:B,0))*C265/100000,""))</f>
        <v>0</v>
      </c>
      <c r="M265" s="220">
        <f>IF(OR(B265="",C265=""),"",IFERROR(INDEX(Vöruskrá!P:P,MATCH(B265,Vöruskrá!B:B,0))*C265/100000,""))</f>
        <v>1</v>
      </c>
      <c r="N265" s="220">
        <f>IF(OR(B265="",C265=""),"",IFERROR(INDEX(Vöruskrá!Q:Q,MATCH(B265,Vöruskrá!B:B,0))*C265/100000,""))</f>
        <v>0</v>
      </c>
      <c r="O265" s="221">
        <f>IF(OR(B265="",C265=""),"",IFERROR(C265/1000*INDEX(Vöruskrá!R:R,MATCH(B265,Vöruskrá!B:B,0))/1000,""))</f>
        <v>0</v>
      </c>
      <c r="P265" s="222"/>
      <c r="Q265" s="205"/>
      <c r="R265" s="6"/>
    </row>
    <row r="266" spans="1:18">
      <c r="A266" s="224"/>
      <c r="B266" s="224" t="s">
        <v>819</v>
      </c>
      <c r="C266" s="225">
        <v>100</v>
      </c>
      <c r="D266" s="219" t="str">
        <f>IF(B266="","",IFERROR(INDEX(Vöruskrá!F:F,MATCH(B266,Vöruskrá!B:B,0)),""))</f>
        <v>Svartur pipar 100% (Piper nigrum), hitaþurrkað.</v>
      </c>
      <c r="E266" s="219" t="str">
        <f>IF(B266="","",IFERROR(IF(INDEX(Vöruskrá!G:G,MATCH(B266,Vöruskrá!B:B,0))="","Engir skráðir",INDEX(Vöruskrá!G:G,MATCH(B266,Vöruskrá!B:B,0))),"Engir skráðir"))</f>
        <v>Engir skráðir</v>
      </c>
      <c r="F266" s="219" t="str">
        <f>IF(B266="","",IFERROR(INDEX(Vöruskrá!H:H,MATCH(B266,Vöruskrá!B:B,0)),""))</f>
        <v>Framleitt á svæði þar sem unnið er með glúten, fisk, krabbadýr, lindýr, mjólk, soja, sellerí, sinnep og sesam.</v>
      </c>
      <c r="G266" s="220">
        <f>IF(OR(B266="",C266=""),"",IFERROR(INDEX(Vöruskrá!J:J,MATCH(B266,Vöruskrá!B:B,0))*C266/100000,""))</f>
        <v>0.38600000000000001</v>
      </c>
      <c r="H266" s="220">
        <f>IF(OR(B266="",C266=""),"",IFERROR(INDEX(Vöruskrá!K:K,MATCH(B266,Vöruskrá!B:B,0))*C266/100000,""))</f>
        <v>3.3E-3</v>
      </c>
      <c r="I266" s="220">
        <f>IF(OR(B266="",C266=""),"",IFERROR(INDEX(Vöruskrá!L:L,MATCH(B266,Vöruskrá!B:B,0))*C266/100000,""))</f>
        <v>1E-3</v>
      </c>
      <c r="J266" s="220">
        <f>IF(OR(B266="",C266=""),"",IFERROR(INDEX(Vöruskrá!M:M,MATCH(B266,Vöruskrá!B:B,0))*C266/100000,""))</f>
        <v>6.5000000000000002E-2</v>
      </c>
      <c r="K266" s="220">
        <f>IF(OR(B266="",C266=""),"",IFERROR(INDEX(Vöruskrá!N:N,MATCH(B266,Vöruskrá!B:B,0))*C266/100000,""))</f>
        <v>5.9999999999999995E-4</v>
      </c>
      <c r="L266" s="220">
        <f>IF(OR(B266="",C266=""),"",IFERROR(INDEX(Vöruskrá!O:O,MATCH(B266,Vöruskrá!B:B,0))*C266/100000,""))</f>
        <v>1.0999999999999999E-2</v>
      </c>
      <c r="M266" s="220">
        <f>IF(OR(B266="",C266=""),"",IFERROR(INDEX(Vöruskrá!P:P,MATCH(B266,Vöruskrá!B:B,0))*C266/100000,""))</f>
        <v>1E-4</v>
      </c>
      <c r="N266" s="220">
        <f>IF(OR(B266="",C266=""),"",IFERROR(INDEX(Vöruskrá!Q:Q,MATCH(B266,Vöruskrá!B:B,0))*C266/100000,""))</f>
        <v>0</v>
      </c>
      <c r="O266" s="221">
        <f>IF(OR(B266="",C266=""),"",IFERROR(C266/1000*INDEX(Vöruskrá!R:R,MATCH(B266,Vöruskrá!B:B,0))/1000,""))</f>
        <v>0</v>
      </c>
      <c r="P266" s="224"/>
      <c r="Q266" s="204"/>
      <c r="R266" s="27"/>
    </row>
    <row r="267" spans="1:18">
      <c r="A267" s="222"/>
      <c r="B267" s="222" t="s">
        <v>131</v>
      </c>
      <c r="C267" s="223">
        <v>10000</v>
      </c>
      <c r="D267" s="219" t="str">
        <f>IF(B267="","",IFERROR(INDEX(Vöruskrá!F:F,MATCH(B267,Vöruskrá!B:B,0)),""))</f>
        <v>Vatn (64%), jurtaolía (29%) (pálmakjarni, pálmi), þurrkað glúkósasíróp (5%), umbreytt sterkja, salt, bindiefni (E339, gellangúmmí), ýruefni (lesitín, E435, E472b), litarefni (karótín), náttúruleg bragðefni.</v>
      </c>
      <c r="E267" s="219" t="str">
        <f>IF(B267="","",IFERROR(IF(INDEX(Vöruskrá!G:G,MATCH(B267,Vöruskrá!B:B,0))="","Engir skráðir",INDEX(Vöruskrá!G:G,MATCH(B267,Vöruskrá!B:B,0))),"Engir skráðir"))</f>
        <v>Engir skráðir</v>
      </c>
      <c r="F267" s="219">
        <f>IF(B267="","",IFERROR(INDEX(Vöruskrá!H:H,MATCH(B267,Vöruskrá!B:B,0)),""))</f>
        <v>0</v>
      </c>
      <c r="G267" s="220">
        <f>IF(OR(B267="",C267=""),"",IFERROR(INDEX(Vöruskrá!J:J,MATCH(B267,Vöruskrá!B:B,0))*C267/100000,""))</f>
        <v>29.5</v>
      </c>
      <c r="H267" s="220">
        <f>IF(OR(B267="",C267=""),"",IFERROR(INDEX(Vöruskrá!K:K,MATCH(B267,Vöruskrá!B:B,0))*C267/100000,""))</f>
        <v>3</v>
      </c>
      <c r="I267" s="220">
        <f>IF(OR(B267="",C267=""),"",IFERROR(INDEX(Vöruskrá!L:L,MATCH(B267,Vöruskrá!B:B,0))*C267/100000,""))</f>
        <v>2.5</v>
      </c>
      <c r="J267" s="220">
        <f>IF(OR(B267="",C267=""),"",IFERROR(INDEX(Vöruskrá!M:M,MATCH(B267,Vöruskrá!B:B,0))*C267/100000,""))</f>
        <v>0.62</v>
      </c>
      <c r="K267" s="220">
        <f>IF(OR(B267="",C267=""),"",IFERROR(INDEX(Vöruskrá!N:N,MATCH(B267,Vöruskrá!B:B,0))*C267/100000,""))</f>
        <v>0</v>
      </c>
      <c r="L267" s="220">
        <f>IF(OR(B267="",C267=""),"",IFERROR(INDEX(Vöruskrá!O:O,MATCH(B267,Vöruskrá!B:B,0))*C267/100000,""))</f>
        <v>0</v>
      </c>
      <c r="M267" s="220">
        <f>IF(OR(B267="",C267=""),"",IFERROR(INDEX(Vöruskrá!P:P,MATCH(B267,Vöruskrá!B:B,0))*C267/100000,""))</f>
        <v>0.01</v>
      </c>
      <c r="N267" s="220">
        <f>IF(OR(B267="",C267=""),"",IFERROR(INDEX(Vöruskrá!Q:Q,MATCH(B267,Vöruskrá!B:B,0))*C267/100000,""))</f>
        <v>0</v>
      </c>
      <c r="O267" s="221">
        <f>IF(OR(B267="",C267=""),"",IFERROR(C267/1000*INDEX(Vöruskrá!R:R,MATCH(B267,Vöruskrá!B:B,0))/1000,""))</f>
        <v>0</v>
      </c>
      <c r="P267" s="222"/>
      <c r="Q267" s="205"/>
      <c r="R267" s="6"/>
    </row>
    <row r="268" spans="1:18">
      <c r="A268" s="224"/>
      <c r="B268" s="224" t="s">
        <v>1020</v>
      </c>
      <c r="C268" s="225">
        <v>5000</v>
      </c>
      <c r="D268" s="219" t="str">
        <f>IF(B268="","",IFERROR(INDEX(Vöruskrá!F:F,MATCH(B268,Vöruskrá!B:B,0)),""))</f>
        <v>Vatn</v>
      </c>
      <c r="E268" s="219" t="str">
        <f>IF(B268="","",IFERROR(IF(INDEX(Vöruskrá!G:G,MATCH(B268,Vöruskrá!B:B,0))="","Engir skráðir",INDEX(Vöruskrá!G:G,MATCH(B268,Vöruskrá!B:B,0))),"Engir skráðir"))</f>
        <v>Engir skráðir</v>
      </c>
      <c r="F268" s="219">
        <f>IF(B268="","",IFERROR(INDEX(Vöruskrá!H:H,MATCH(B268,Vöruskrá!B:B,0)),""))</f>
        <v>0</v>
      </c>
      <c r="G268" s="220">
        <f>IF(OR(B268="",C268=""),"",IFERROR(INDEX(Vöruskrá!J:J,MATCH(B268,Vöruskrá!B:B,0))*C268/100000,""))</f>
        <v>0</v>
      </c>
      <c r="H268" s="220">
        <f>IF(OR(B268="",C268=""),"",IFERROR(INDEX(Vöruskrá!K:K,MATCH(B268,Vöruskrá!B:B,0))*C268/100000,""))</f>
        <v>0</v>
      </c>
      <c r="I268" s="220">
        <f>IF(OR(B268="",C268=""),"",IFERROR(INDEX(Vöruskrá!L:L,MATCH(B268,Vöruskrá!B:B,0))*C268/100000,""))</f>
        <v>0</v>
      </c>
      <c r="J268" s="220">
        <f>IF(OR(B268="",C268=""),"",IFERROR(INDEX(Vöruskrá!M:M,MATCH(B268,Vöruskrá!B:B,0))*C268/100000,""))</f>
        <v>0</v>
      </c>
      <c r="K268" s="220">
        <f>IF(OR(B268="",C268=""),"",IFERROR(INDEX(Vöruskrá!N:N,MATCH(B268,Vöruskrá!B:B,0))*C268/100000,""))</f>
        <v>0</v>
      </c>
      <c r="L268" s="220">
        <f>IF(OR(B268="",C268=""),"",IFERROR(INDEX(Vöruskrá!O:O,MATCH(B268,Vöruskrá!B:B,0))*C268/100000,""))</f>
        <v>0</v>
      </c>
      <c r="M268" s="220">
        <f>IF(OR(B268="",C268=""),"",IFERROR(INDEX(Vöruskrá!P:P,MATCH(B268,Vöruskrá!B:B,0))*C268/100000,""))</f>
        <v>0</v>
      </c>
      <c r="N268" s="220">
        <f>IF(OR(B268="",C268=""),"",IFERROR(INDEX(Vöruskrá!Q:Q,MATCH(B268,Vöruskrá!B:B,0))*C268/100000,""))</f>
        <v>0</v>
      </c>
      <c r="O268" s="221">
        <f>IF(OR(B268="",C268=""),"",IFERROR(C268/1000*INDEX(Vöruskrá!R:R,MATCH(B268,Vöruskrá!B:B,0))/1000,""))</f>
        <v>0</v>
      </c>
      <c r="P268" s="224"/>
      <c r="Q268" s="204"/>
      <c r="R268" s="27"/>
    </row>
    <row r="269" spans="1:18">
      <c r="A269" s="222"/>
      <c r="B269" s="222" t="s">
        <v>349</v>
      </c>
      <c r="C269" s="223">
        <v>1800</v>
      </c>
      <c r="D269" s="219" t="str">
        <f>IF(B269="","",IFERROR(INDEX(Vöruskrá!F:F,MATCH(B269,Vöruskrá!B:B,0)),""))</f>
        <v>Maíssterkja.</v>
      </c>
      <c r="E269" s="219" t="str">
        <f>IF(B269="","",IFERROR(IF(INDEX(Vöruskrá!G:G,MATCH(B269,Vöruskrá!B:B,0))="","Engir skráðir",INDEX(Vöruskrá!G:G,MATCH(B269,Vöruskrá!B:B,0))),"Engir skráðir"))</f>
        <v>Engir skráðir</v>
      </c>
      <c r="F269" s="219">
        <f>IF(B269="","",IFERROR(INDEX(Vöruskrá!H:H,MATCH(B269,Vöruskrá!B:B,0)),""))</f>
        <v>0</v>
      </c>
      <c r="G269" s="220">
        <f>IF(OR(B269="",C269=""),"",IFERROR(INDEX(Vöruskrá!J:J,MATCH(B269,Vöruskrá!B:B,0))*C269/100000,""))</f>
        <v>6.39</v>
      </c>
      <c r="H269" s="220">
        <f>IF(OR(B269="",C269=""),"",IFERROR(INDEX(Vöruskrá!K:K,MATCH(B269,Vöruskrá!B:B,0))*C269/100000,""))</f>
        <v>8.9999999999999993E-3</v>
      </c>
      <c r="I269" s="220">
        <f>IF(OR(B269="",C269=""),"",IFERROR(INDEX(Vöruskrá!L:L,MATCH(B269,Vöruskrá!B:B,0))*C269/100000,""))</f>
        <v>0</v>
      </c>
      <c r="J269" s="220">
        <f>IF(OR(B269="",C269=""),"",IFERROR(INDEX(Vöruskrá!M:M,MATCH(B269,Vöruskrá!B:B,0))*C269/100000,""))</f>
        <v>1.548</v>
      </c>
      <c r="K269" s="220">
        <f>IF(OR(B269="",C269=""),"",IFERROR(INDEX(Vöruskrá!N:N,MATCH(B269,Vöruskrá!B:B,0))*C269/100000,""))</f>
        <v>0</v>
      </c>
      <c r="L269" s="220">
        <f>IF(OR(B269="",C269=""),"",IFERROR(INDEX(Vöruskrá!O:O,MATCH(B269,Vöruskrá!B:B,0))*C269/100000,""))</f>
        <v>8.9999999999999993E-3</v>
      </c>
      <c r="M269" s="220">
        <f>IF(OR(B269="",C269=""),"",IFERROR(INDEX(Vöruskrá!P:P,MATCH(B269,Vöruskrá!B:B,0))*C269/100000,""))</f>
        <v>0</v>
      </c>
      <c r="N269" s="220">
        <f>IF(OR(B269="",C269=""),"",IFERROR(INDEX(Vöruskrá!Q:Q,MATCH(B269,Vöruskrá!B:B,0))*C269/100000,""))</f>
        <v>1.7999999999999999E-2</v>
      </c>
      <c r="O269" s="221">
        <f>IF(OR(B269="",C269=""),"",IFERROR(C269/1000*INDEX(Vöruskrá!R:R,MATCH(B269,Vöruskrá!B:B,0))/1000,""))</f>
        <v>0</v>
      </c>
      <c r="P269" s="222"/>
      <c r="Q269" s="205"/>
      <c r="R269" s="6"/>
    </row>
    <row r="270" spans="1:18">
      <c r="A270" s="224"/>
      <c r="B270" s="224" t="s">
        <v>1053</v>
      </c>
      <c r="C270" s="225">
        <v>400</v>
      </c>
      <c r="D270" s="219" t="str">
        <f>IF(B270="","",IFERROR(INDEX(Vöruskrá!F:F,MATCH(B270,Vöruskrá!B:B,0)),""))</f>
        <v>Þurrkað vín, edik</v>
      </c>
      <c r="E270" s="219" t="str">
        <f>IF(B270="","",IFERROR(IF(INDEX(Vöruskrá!G:G,MATCH(B270,Vöruskrá!B:B,0))="","Engir skráðir",INDEX(Vöruskrá!G:G,MATCH(B270,Vöruskrá!B:B,0))),"Engir skráðir"))</f>
        <v>Getur innihaldið súlfít</v>
      </c>
      <c r="F270" s="219">
        <f>IF(B270="","",IFERROR(INDEX(Vöruskrá!H:H,MATCH(B270,Vöruskrá!B:B,0)),""))</f>
        <v>0</v>
      </c>
      <c r="G270" s="220">
        <f>IF(OR(B270="",C270=""),"",IFERROR(INDEX(Vöruskrá!J:J,MATCH(B270,Vöruskrá!B:B,0))*C270/100000,""))</f>
        <v>0.08</v>
      </c>
      <c r="H270" s="220">
        <f>IF(OR(B270="",C270=""),"",IFERROR(INDEX(Vöruskrá!K:K,MATCH(B270,Vöruskrá!B:B,0))*C270/100000,""))</f>
        <v>0</v>
      </c>
      <c r="I270" s="220">
        <f>IF(OR(B270="",C270=""),"",IFERROR(INDEX(Vöruskrá!L:L,MATCH(B270,Vöruskrá!B:B,0))*C270/100000,""))</f>
        <v>0</v>
      </c>
      <c r="J270" s="220">
        <f>IF(OR(B270="",C270=""),"",IFERROR(INDEX(Vöruskrá!M:M,MATCH(B270,Vöruskrá!B:B,0))*C270/100000,""))</f>
        <v>2.3999999999999998E-3</v>
      </c>
      <c r="K270" s="220">
        <f>IF(OR(B270="",C270=""),"",IFERROR(INDEX(Vöruskrá!N:N,MATCH(B270,Vöruskrá!B:B,0))*C270/100000,""))</f>
        <v>1.6000000000000001E-3</v>
      </c>
      <c r="L270" s="220">
        <f>IF(OR(B270="",C270=""),"",IFERROR(INDEX(Vöruskrá!O:O,MATCH(B270,Vöruskrá!B:B,0))*C270/100000,""))</f>
        <v>0</v>
      </c>
      <c r="M270" s="220">
        <f>IF(OR(B270="",C270=""),"",IFERROR(INDEX(Vöruskrá!P:P,MATCH(B270,Vöruskrá!B:B,0))*C270/100000,""))</f>
        <v>0</v>
      </c>
      <c r="N270" s="220">
        <f>IF(OR(B270="",C270=""),"",IFERROR(INDEX(Vöruskrá!Q:Q,MATCH(B270,Vöruskrá!B:B,0))*C270/100000,""))</f>
        <v>0</v>
      </c>
      <c r="O270" s="221">
        <f>IF(OR(B270="",C270=""),"",IFERROR(C270/1000*INDEX(Vöruskrá!R:R,MATCH(B270,Vöruskrá!B:B,0))/1000,""))</f>
        <v>0</v>
      </c>
      <c r="P270" s="224"/>
      <c r="Q270" s="204"/>
      <c r="R270" s="27"/>
    </row>
    <row r="271" spans="1:18">
      <c r="A271" s="222"/>
      <c r="B271" s="222" t="s">
        <v>1125</v>
      </c>
      <c r="C271" s="223">
        <v>250</v>
      </c>
      <c r="D271" s="219" t="str">
        <f>IF(B271="","",IFERROR(INDEX(Vöruskrá!F:F,MATCH(B271,Vöruskrá!B:B,0)),""))</f>
        <v>Sykur, sykurreyrssíróp.</v>
      </c>
      <c r="E271" s="219" t="str">
        <f>IF(B271="","",IFERROR(IF(INDEX(Vöruskrá!G:G,MATCH(B271,Vöruskrá!B:B,0))="","Engir skráðir",INDEX(Vöruskrá!G:G,MATCH(B271,Vöruskrá!B:B,0))),"Engir skráðir"))</f>
        <v>Engir</v>
      </c>
      <c r="F271" s="219">
        <f>IF(B271="","",IFERROR(INDEX(Vöruskrá!H:H,MATCH(B271,Vöruskrá!B:B,0)),""))</f>
        <v>0</v>
      </c>
      <c r="G271" s="220">
        <f>IF(OR(B271="",C271=""),"",IFERROR(INDEX(Vöruskrá!J:J,MATCH(B271,Vöruskrá!B:B,0))*C271/100000,""))</f>
        <v>1</v>
      </c>
      <c r="H271" s="220">
        <f>IF(OR(B271="",C271=""),"",IFERROR(INDEX(Vöruskrá!K:K,MATCH(B271,Vöruskrá!B:B,0))*C271/100000,""))</f>
        <v>0</v>
      </c>
      <c r="I271" s="220">
        <f>IF(OR(B271="",C271=""),"",IFERROR(INDEX(Vöruskrá!L:L,MATCH(B271,Vöruskrá!B:B,0))*C271/100000,""))</f>
        <v>0</v>
      </c>
      <c r="J271" s="220">
        <f>IF(OR(B271="",C271=""),"",IFERROR(INDEX(Vöruskrá!M:M,MATCH(B271,Vöruskrá!B:B,0))*C271/100000,""))</f>
        <v>0.25</v>
      </c>
      <c r="K271" s="220">
        <f>IF(OR(B271="",C271=""),"",IFERROR(INDEX(Vöruskrá!N:N,MATCH(B271,Vöruskrá!B:B,0))*C271/100000,""))</f>
        <v>0.25</v>
      </c>
      <c r="L271" s="220">
        <f>IF(OR(B271="",C271=""),"",IFERROR(INDEX(Vöruskrá!O:O,MATCH(B271,Vöruskrá!B:B,0))*C271/100000,""))</f>
        <v>0</v>
      </c>
      <c r="M271" s="220">
        <f>IF(OR(B271="",C271=""),"",IFERROR(INDEX(Vöruskrá!P:P,MATCH(B271,Vöruskrá!B:B,0))*C271/100000,""))</f>
        <v>0</v>
      </c>
      <c r="N271" s="220">
        <f>IF(OR(B271="",C271=""),"",IFERROR(INDEX(Vöruskrá!Q:Q,MATCH(B271,Vöruskrá!B:B,0))*C271/100000,""))</f>
        <v>0</v>
      </c>
      <c r="O271" s="221">
        <f>IF(OR(B271="",C271=""),"",IFERROR(C271/1000*INDEX(Vöruskrá!R:R,MATCH(B271,Vöruskrá!B:B,0))/1000,""))</f>
        <v>0</v>
      </c>
      <c r="P271" s="222"/>
      <c r="Q271" s="205"/>
      <c r="R271" s="6"/>
    </row>
    <row r="272" spans="1:18">
      <c r="A272" s="224"/>
      <c r="B272" s="224" t="s">
        <v>1022</v>
      </c>
      <c r="C272" s="225">
        <v>60</v>
      </c>
      <c r="D272" s="219" t="str">
        <f>IF(B272="","",IFERROR(INDEX(Vöruskrá!F:F,MATCH(B272,Vöruskrá!B:B,0)),""))</f>
        <v>Túrmerik, dillfræ, fenugreek (grikkjasmári), kóríander, cayennepipar, svartur pipar, negull.</v>
      </c>
      <c r="E272" s="219" t="str">
        <f>IF(B272="","",IFERROR(IF(INDEX(Vöruskrá!G:G,MATCH(B272,Vöruskrá!B:B,0))="","Engir skráðir",INDEX(Vöruskrá!G:G,MATCH(B272,Vöruskrá!B:B,0))),"Engir skráðir"))</f>
        <v>Engir skráðir</v>
      </c>
      <c r="F272" s="219" t="str">
        <f>IF(B272="","",IFERROR(INDEX(Vöruskrá!H:H,MATCH(B272,Vöruskrá!B:B,0)),""))</f>
        <v>Framleitt á svæði þar sem unnið er með glúten, fisk, mjólk, soja, sellerí, sinnep og sesam.</v>
      </c>
      <c r="G272" s="220">
        <f>IF(OR(B272="",C272=""),"",IFERROR(INDEX(Vöruskrá!J:J,MATCH(B272,Vöruskrá!B:B,0))*C272/100000,""))</f>
        <v>0.19500000000000001</v>
      </c>
      <c r="H272" s="220">
        <f>IF(OR(B272="",C272=""),"",IFERROR(INDEX(Vöruskrá!K:K,MATCH(B272,Vöruskrá!B:B,0))*C272/100000,""))</f>
        <v>8.3999999999999995E-3</v>
      </c>
      <c r="I272" s="220">
        <f>IF(OR(B272="",C272=""),"",IFERROR(INDEX(Vöruskrá!L:L,MATCH(B272,Vöruskrá!B:B,0))*C272/100000,""))</f>
        <v>1.1999999999999999E-3</v>
      </c>
      <c r="J272" s="220">
        <f>IF(OR(B272="",C272=""),"",IFERROR(INDEX(Vöruskrá!M:M,MATCH(B272,Vöruskrá!B:B,0))*C272/100000,""))</f>
        <v>3.3000000000000002E-2</v>
      </c>
      <c r="K272" s="220">
        <f>IF(OR(B272="",C272=""),"",IFERROR(INDEX(Vöruskrá!N:N,MATCH(B272,Vöruskrá!B:B,0))*C272/100000,""))</f>
        <v>1.6800000000000001E-3</v>
      </c>
      <c r="L272" s="220">
        <f>IF(OR(B272="",C272=""),"",IFERROR(INDEX(Vöruskrá!O:O,MATCH(B272,Vöruskrá!B:B,0))*C272/100000,""))</f>
        <v>8.3999999999999995E-3</v>
      </c>
      <c r="M272" s="220">
        <f>IF(OR(B272="",C272=""),"",IFERROR(INDEX(Vöruskrá!P:P,MATCH(B272,Vöruskrá!B:B,0))*C272/100000,""))</f>
        <v>6.0000000000000002E-5</v>
      </c>
      <c r="N272" s="220">
        <f>IF(OR(B272="",C272=""),"",IFERROR(INDEX(Vöruskrá!Q:Q,MATCH(B272,Vöruskrá!B:B,0))*C272/100000,""))</f>
        <v>1.9800000000000002E-2</v>
      </c>
      <c r="O272" s="221">
        <f>IF(OR(B272="",C272=""),"",IFERROR(C272/1000*INDEX(Vöruskrá!R:R,MATCH(B272,Vöruskrá!B:B,0))/1000,""))</f>
        <v>0</v>
      </c>
      <c r="P272" s="224"/>
      <c r="Q272" s="204"/>
      <c r="R272" s="27"/>
    </row>
    <row r="273" spans="1:18">
      <c r="A273" s="222"/>
      <c r="B273" s="222" t="s">
        <v>1118</v>
      </c>
      <c r="C273" s="223">
        <v>50</v>
      </c>
      <c r="D273" s="219" t="str">
        <f>IF(B273="","",IFERROR(INDEX(Vöruskrá!F:F,MATCH(B273,Vöruskrá!B:B,0)),""))</f>
        <v>Svartur pipar, **sinnep**, laukur, rauð paprika, hvítlaukur.</v>
      </c>
      <c r="E273" s="219" t="str">
        <f>IF(B273="","",IFERROR(IF(INDEX(Vöruskrá!G:G,MATCH(B273,Vöruskrá!B:B,0))="","Engir skráðir",INDEX(Vöruskrá!G:G,MATCH(B273,Vöruskrá!B:B,0))),"Engir skráðir"))</f>
        <v>Sinnep</v>
      </c>
      <c r="F273" s="219" t="str">
        <f>IF(B273="","",IFERROR(INDEX(Vöruskrá!H:H,MATCH(B273,Vöruskrá!B:B,0)),""))</f>
        <v>Framleitt á svæði þar sem unnið er með glúten, fisk, mjólk, soja, sellerí, sinnep og sesam.</v>
      </c>
      <c r="G273" s="220">
        <f>IF(OR(B273="",C273=""),"",IFERROR(INDEX(Vöruskrá!J:J,MATCH(B273,Vöruskrá!B:B,0))*C273/100000,""))</f>
        <v>0.1275</v>
      </c>
      <c r="H273" s="220">
        <f>IF(OR(B273="",C273=""),"",IFERROR(INDEX(Vöruskrá!K:K,MATCH(B273,Vöruskrá!B:B,0))*C273/100000,""))</f>
        <v>1.65E-3</v>
      </c>
      <c r="I273" s="220">
        <f>IF(OR(B273="",C273=""),"",IFERROR(INDEX(Vöruskrá!L:L,MATCH(B273,Vöruskrá!B:B,0))*C273/100000,""))</f>
        <v>4.4999999999999999E-4</v>
      </c>
      <c r="J273" s="220">
        <f>IF(OR(B273="",C273=""),"",IFERROR(INDEX(Vöruskrá!M:M,MATCH(B273,Vöruskrá!B:B,0))*C273/100000,""))</f>
        <v>3.2000000000000001E-2</v>
      </c>
      <c r="K273" s="220">
        <f>IF(OR(B273="",C273=""),"",IFERROR(INDEX(Vöruskrá!N:N,MATCH(B273,Vöruskrá!B:B,0))*C273/100000,""))</f>
        <v>2.9999999999999997E-4</v>
      </c>
      <c r="L273" s="220">
        <f>IF(OR(B273="",C273=""),"",IFERROR(INDEX(Vöruskrá!O:O,MATCH(B273,Vöruskrá!B:B,0))*C273/100000,""))</f>
        <v>5.1999999999999998E-3</v>
      </c>
      <c r="M273" s="220">
        <f>IF(OR(B273="",C273=""),"",IFERROR(INDEX(Vöruskrá!P:P,MATCH(B273,Vöruskrá!B:B,0))*C273/100000,""))</f>
        <v>0</v>
      </c>
      <c r="N273" s="220">
        <f>IF(OR(B273="",C273=""),"",IFERROR(INDEX(Vöruskrá!Q:Q,MATCH(B273,Vöruskrá!B:B,0))*C273/100000,""))</f>
        <v>1.325E-2</v>
      </c>
      <c r="O273" s="221">
        <f>IF(OR(B273="",C273=""),"",IFERROR(C273/1000*INDEX(Vöruskrá!R:R,MATCH(B273,Vöruskrá!B:B,0))/1000,""))</f>
        <v>0</v>
      </c>
      <c r="P273" s="222"/>
      <c r="Q273" s="205"/>
      <c r="R273" s="6"/>
    </row>
    <row r="274" spans="1:18">
      <c r="A274" s="224"/>
      <c r="B274" s="224" t="s">
        <v>812</v>
      </c>
      <c r="C274" s="225">
        <v>40</v>
      </c>
      <c r="D274" s="219" t="str">
        <f>IF(B274="","",IFERROR(INDEX(Vöruskrá!F:F,MATCH(B274,Vöruskrá!B:B,0)),""))</f>
        <v>Múskat 100% (Myristica fragrans), hitaþurrkað.</v>
      </c>
      <c r="E274" s="219" t="str">
        <f>IF(B274="","",IFERROR(IF(INDEX(Vöruskrá!G:G,MATCH(B274,Vöruskrá!B:B,0))="","Engir skráðir",INDEX(Vöruskrá!G:G,MATCH(B274,Vöruskrá!B:B,0))),"Engir skráðir"))</f>
        <v>Engir skráðir</v>
      </c>
      <c r="F274" s="219" t="str">
        <f>IF(B274="","",IFERROR(INDEX(Vöruskrá!H:H,MATCH(B274,Vöruskrá!B:B,0)),""))</f>
        <v>Framleitt á svæði þar sem unnið er með glúten, fisk, krabbadýr, lindýr, mjólk, soja, sellerí, sinnep og sesam.</v>
      </c>
      <c r="G274" s="220">
        <f>IF(OR(B274="",C274=""),"",IFERROR(INDEX(Vöruskrá!J:J,MATCH(B274,Vöruskrá!B:B,0))*C274/100000,""))</f>
        <v>0.214</v>
      </c>
      <c r="H274" s="220">
        <f>IF(OR(B274="",C274=""),"",IFERROR(INDEX(Vöruskrá!K:K,MATCH(B274,Vöruskrá!B:B,0))*C274/100000,""))</f>
        <v>1.44E-2</v>
      </c>
      <c r="I274" s="220">
        <f>IF(OR(B274="",C274=""),"",IFERROR(INDEX(Vöruskrá!L:L,MATCH(B274,Vöruskrá!B:B,0))*C274/100000,""))</f>
        <v>1.04E-2</v>
      </c>
      <c r="J274" s="220">
        <f>IF(OR(B274="",C274=""),"",IFERROR(INDEX(Vöruskrá!M:M,MATCH(B274,Vöruskrá!B:B,0))*C274/100000,""))</f>
        <v>1.7999999999999999E-2</v>
      </c>
      <c r="K274" s="220">
        <f>IF(OR(B274="",C274=""),"",IFERROR(INDEX(Vöruskrá!N:N,MATCH(B274,Vöruskrá!B:B,0))*C274/100000,""))</f>
        <v>9.1999999999999998E-3</v>
      </c>
      <c r="L274" s="220">
        <f>IF(OR(B274="",C274=""),"",IFERROR(INDEX(Vöruskrá!O:O,MATCH(B274,Vöruskrá!B:B,0))*C274/100000,""))</f>
        <v>2.32E-3</v>
      </c>
      <c r="M274" s="220">
        <f>IF(OR(B274="",C274=""),"",IFERROR(INDEX(Vöruskrá!P:P,MATCH(B274,Vöruskrá!B:B,0))*C274/100000,""))</f>
        <v>4.0000000000000003E-5</v>
      </c>
      <c r="N274" s="220">
        <f>IF(OR(B274="",C274=""),"",IFERROR(INDEX(Vöruskrá!Q:Q,MATCH(B274,Vöruskrá!B:B,0))*C274/100000,""))</f>
        <v>0</v>
      </c>
      <c r="O274" s="221">
        <f>IF(OR(B274="",C274=""),"",IFERROR(C274/1000*INDEX(Vöruskrá!R:R,MATCH(B274,Vöruskrá!B:B,0))/1000,""))</f>
        <v>0</v>
      </c>
      <c r="P274" s="224"/>
      <c r="Q274" s="204"/>
      <c r="R274" s="27"/>
    </row>
    <row r="275" spans="1:18" ht="26">
      <c r="A275" s="176" t="s">
        <v>3697</v>
      </c>
      <c r="B275" s="176"/>
      <c r="C275" s="177"/>
      <c r="D275" s="216" t="str">
        <f>_xlfn.TEXTJOIN(" | ",TRUE,D276:D282)</f>
        <v>Ýsa | Hvítlaukur | 0 | Þykktur sítrónusafi, vatn. | Þurrkuð steinselja (Petroselinum sativum Hoffm) | Salt (salt, kekkjavarnarefni E535, lyftiefni E500). | Svartur pipar 100% (Piper nigrum), hitaþurrkað.</v>
      </c>
      <c r="E275" s="216" t="str" cm="1">
        <f t="array" ref="E275">IFERROR(_xlfn.TEXTJOIN(", ",TRUE,_xlfn.UNIQUE(_xlfn._xlws.FILTER(E276:E282,(E276:E282&lt;&gt;"Engir skráðir")*(E276:E282&lt;&gt;"")))),"Engir skráðir")</f>
        <v>Fiskur</v>
      </c>
      <c r="F275" s="216"/>
      <c r="G275" s="217">
        <f>IFERROR(SUM(G276:G282)/(SUM($C$276:$C$282)/100000),"")</f>
        <v>98.883660000000006</v>
      </c>
      <c r="H275" s="217">
        <f>IFERROR(SUM(H276:H282)/(SUM($C$276:$C$282)/100000),"")</f>
        <v>0.72420799999999996</v>
      </c>
      <c r="I275" s="217">
        <f>IFERROR(SUM(I276:I282)/(SUM($C$276:$C$282)/100000),"")</f>
        <v>0.10673400000000001</v>
      </c>
      <c r="J275" s="217">
        <f>IFERROR(SUM(J276:J282)/(SUM($C$276:$C$282)/100000),"")</f>
        <v>1.4387700000000001</v>
      </c>
      <c r="K275" s="217">
        <f>IFERROR(SUM(K276:K282)/(SUM($C$276:$C$282)/100000),"")</f>
        <v>9.2259999999999995E-2</v>
      </c>
      <c r="L275" s="217">
        <f>IFERROR(SUM(L276:L282)/(SUM($C$276:$C$282)/100000),"")</f>
        <v>21.455479999999998</v>
      </c>
      <c r="M275" s="217">
        <f>IFERROR(SUM(M276:M282)/(SUM($C$276:$C$282)/100000),"")</f>
        <v>1.1884560000000002</v>
      </c>
      <c r="N275" s="217">
        <f>IFERROR(SUM(N276:N282)/(SUM($C$276:$C$282)/100000),"")</f>
        <v>0.34086599999999995</v>
      </c>
      <c r="O275" s="218" t="str">
        <f>IF(OR(B275="",C275=""),"",IFERROR(C275/1000*INDEX(Vöruskrá!R:R,MATCH(B275,Vöruskrá!B:B,0))/1000,""))</f>
        <v/>
      </c>
      <c r="P275" s="176" t="s">
        <v>3698</v>
      </c>
      <c r="Q275" s="205"/>
      <c r="R275" s="6"/>
    </row>
    <row r="276" spans="1:18">
      <c r="A276" s="222"/>
      <c r="B276" s="222" t="s">
        <v>926</v>
      </c>
      <c r="C276" s="223">
        <v>91324</v>
      </c>
      <c r="D276" s="219" t="str">
        <f>IF(B276="","",IFERROR(INDEX(Vöruskrá!F:F,MATCH(B276,Vöruskrá!B:B,0)),""))</f>
        <v>Ýsa</v>
      </c>
      <c r="E276" s="219" t="str">
        <f>IF(B276="","",IFERROR(IF(INDEX(Vöruskrá!G:G,MATCH(B276,Vöruskrá!B:B,0))="","Engir skráðir",INDEX(Vöruskrá!G:G,MATCH(B276,Vöruskrá!B:B,0))),"Engir skráðir"))</f>
        <v>Fiskur</v>
      </c>
      <c r="F276" s="219">
        <f>IF(B276="","",IFERROR(INDEX(Vöruskrá!H:H,MATCH(B276,Vöruskrá!B:B,0)),""))</f>
        <v>0</v>
      </c>
      <c r="G276" s="220">
        <f>IF(OR(B276="",C276=""),"",IFERROR(INDEX(Vöruskrá!J:J,MATCH(B276,Vöruskrá!B:B,0))*C276/100000,""))</f>
        <v>91.323999999999998</v>
      </c>
      <c r="H276" s="220">
        <f>IF(OR(B276="",C276=""),"",IFERROR(INDEX(Vöruskrá!K:K,MATCH(B276,Vöruskrá!B:B,0))*C276/100000,""))</f>
        <v>0.63926799999999995</v>
      </c>
      <c r="I276" s="220">
        <f>IF(OR(B276="",C276=""),"",IFERROR(INDEX(Vöruskrá!L:L,MATCH(B276,Vöruskrá!B:B,0))*C276/100000,""))</f>
        <v>9.1324000000000002E-2</v>
      </c>
      <c r="J276" s="220">
        <f>IF(OR(B276="",C276=""),"",IFERROR(INDEX(Vöruskrá!M:M,MATCH(B276,Vöruskrá!B:B,0))*C276/100000,""))</f>
        <v>0</v>
      </c>
      <c r="K276" s="220">
        <f>IF(OR(B276="",C276=""),"",IFERROR(INDEX(Vöruskrá!N:N,MATCH(B276,Vöruskrá!B:B,0))*C276/100000,""))</f>
        <v>0</v>
      </c>
      <c r="L276" s="220">
        <f>IF(OR(B276="",C276=""),"",IFERROR(INDEX(Vöruskrá!O:O,MATCH(B276,Vöruskrá!B:B,0))*C276/100000,""))</f>
        <v>21.004519999999999</v>
      </c>
      <c r="M276" s="220">
        <f>IF(OR(B276="",C276=""),"",IFERROR(INDEX(Vöruskrá!P:P,MATCH(B276,Vöruskrá!B:B,0))*C276/100000,""))</f>
        <v>0.27397199999999999</v>
      </c>
      <c r="N276" s="220">
        <f>IF(OR(B276="",C276=""),"",IFERROR(INDEX(Vöruskrá!Q:Q,MATCH(B276,Vöruskrá!B:B,0))*C276/100000,""))</f>
        <v>0</v>
      </c>
      <c r="O276" s="221">
        <f>IF(OR(B276="",C276=""),"",IFERROR(C276/1000*INDEX(Vöruskrá!R:R,MATCH(B276,Vöruskrá!B:B,0))/1000,""))</f>
        <v>0</v>
      </c>
      <c r="P276" s="222"/>
      <c r="Q276" s="204"/>
      <c r="R276" s="27"/>
    </row>
    <row r="277" spans="1:18">
      <c r="A277" s="224"/>
      <c r="B277" s="224" t="s">
        <v>1017</v>
      </c>
      <c r="C277" s="225">
        <v>1712</v>
      </c>
      <c r="D277" s="219" t="str">
        <f>IF(B277="","",IFERROR(INDEX(Vöruskrá!F:F,MATCH(B277,Vöruskrá!B:B,0)),""))</f>
        <v>Hvítlaukur</v>
      </c>
      <c r="E277" s="219" t="str">
        <f>IF(B277="","",IFERROR(IF(INDEX(Vöruskrá!G:G,MATCH(B277,Vöruskrá!B:B,0))="","Engir skráðir",INDEX(Vöruskrá!G:G,MATCH(B277,Vöruskrá!B:B,0))),"Engir skráðir"))</f>
        <v>Engir skráðir</v>
      </c>
      <c r="F277" s="219">
        <f>IF(B277="","",IFERROR(INDEX(Vöruskrá!H:H,MATCH(B277,Vöruskrá!B:B,0)),""))</f>
        <v>0</v>
      </c>
      <c r="G277" s="220">
        <f>IF(OR(B277="",C277=""),"",IFERROR(INDEX(Vöruskrá!J:J,MATCH(B277,Vöruskrá!B:B,0))*C277/100000,""))</f>
        <v>2.5508799999999998</v>
      </c>
      <c r="H277" s="220">
        <f>IF(OR(B277="",C277=""),"",IFERROR(INDEX(Vöruskrá!K:K,MATCH(B277,Vöruskrá!B:B,0))*C277/100000,""))</f>
        <v>8.5599999999999999E-3</v>
      </c>
      <c r="I277" s="220">
        <f>IF(OR(B277="",C277=""),"",IFERROR(INDEX(Vöruskrá!L:L,MATCH(B277,Vöruskrá!B:B,0))*C277/100000,""))</f>
        <v>1.7120000000000002E-3</v>
      </c>
      <c r="J277" s="220">
        <f>IF(OR(B277="",C277=""),"",IFERROR(INDEX(Vöruskrá!M:M,MATCH(B277,Vöruskrá!B:B,0))*C277/100000,""))</f>
        <v>0.56667200000000006</v>
      </c>
      <c r="K277" s="220">
        <f>IF(OR(B277="",C277=""),"",IFERROR(INDEX(Vöruskrá!N:N,MATCH(B277,Vöruskrá!B:B,0))*C277/100000,""))</f>
        <v>1.712E-2</v>
      </c>
      <c r="L277" s="220">
        <f>IF(OR(B277="",C277=""),"",IFERROR(INDEX(Vöruskrá!O:O,MATCH(B277,Vöruskrá!B:B,0))*C277/100000,""))</f>
        <v>0.10956800000000001</v>
      </c>
      <c r="M277" s="220">
        <f>IF(OR(B277="",C277=""),"",IFERROR(INDEX(Vöruskrá!P:P,MATCH(B277,Vöruskrá!B:B,0))*C277/100000,""))</f>
        <v>0</v>
      </c>
      <c r="N277" s="220">
        <f>IF(OR(B277="",C277=""),"",IFERROR(INDEX(Vöruskrá!Q:Q,MATCH(B277,Vöruskrá!B:B,0))*C277/100000,""))</f>
        <v>3.5952000000000005E-2</v>
      </c>
      <c r="O277" s="221">
        <f>IF(OR(B277="",C277=""),"",IFERROR(C277/1000*INDEX(Vöruskrá!R:R,MATCH(B277,Vöruskrá!B:B,0))/1000,""))</f>
        <v>0</v>
      </c>
      <c r="P277" s="224"/>
      <c r="Q277" s="205"/>
      <c r="R277" s="6"/>
    </row>
    <row r="278" spans="1:18">
      <c r="A278" s="222"/>
      <c r="B278" s="222" t="s">
        <v>3642</v>
      </c>
      <c r="C278" s="223">
        <v>3425</v>
      </c>
      <c r="D278" s="219">
        <f>IF(B278="","",IFERROR(INDEX(Vöruskrá!F:F,MATCH(B278,Vöruskrá!B:B,0)),""))</f>
        <v>0</v>
      </c>
      <c r="E278" s="219" t="str">
        <f>IF(B278="","",IFERROR(IF(INDEX(Vöruskrá!G:G,MATCH(B278,Vöruskrá!B:B,0))="","Engir skráðir",INDEX(Vöruskrá!G:G,MATCH(B278,Vöruskrá!B:B,0))),"Engir skráðir"))</f>
        <v>Engir skráðir</v>
      </c>
      <c r="F278" s="219">
        <f>IF(B278="","",IFERROR(INDEX(Vöruskrá!H:H,MATCH(B278,Vöruskrá!B:B,0)),""))</f>
        <v>0</v>
      </c>
      <c r="G278" s="220">
        <f>IF(OR(B278="",C278=""),"",IFERROR(INDEX(Vöruskrá!J:J,MATCH(B278,Vöruskrá!B:B,0))*C278/100000,""))</f>
        <v>0</v>
      </c>
      <c r="H278" s="220">
        <f>IF(OR(B278="",C278=""),"",IFERROR(INDEX(Vöruskrá!K:K,MATCH(B278,Vöruskrá!B:B,0))*C278/100000,""))</f>
        <v>0</v>
      </c>
      <c r="I278" s="220">
        <f>IF(OR(B278="",C278=""),"",IFERROR(INDEX(Vöruskrá!L:L,MATCH(B278,Vöruskrá!B:B,0))*C278/100000,""))</f>
        <v>0</v>
      </c>
      <c r="J278" s="220">
        <f>IF(OR(B278="",C278=""),"",IFERROR(INDEX(Vöruskrá!M:M,MATCH(B278,Vöruskrá!B:B,0))*C278/100000,""))</f>
        <v>0</v>
      </c>
      <c r="K278" s="220">
        <f>IF(OR(B278="",C278=""),"",IFERROR(INDEX(Vöruskrá!N:N,MATCH(B278,Vöruskrá!B:B,0))*C278/100000,""))</f>
        <v>0</v>
      </c>
      <c r="L278" s="220">
        <f>IF(OR(B278="",C278=""),"",IFERROR(INDEX(Vöruskrá!O:O,MATCH(B278,Vöruskrá!B:B,0))*C278/100000,""))</f>
        <v>0</v>
      </c>
      <c r="M278" s="220">
        <f>IF(OR(B278="",C278=""),"",IFERROR(INDEX(Vöruskrá!P:P,MATCH(B278,Vöruskrá!B:B,0))*C278/100000,""))</f>
        <v>0</v>
      </c>
      <c r="N278" s="220">
        <f>IF(OR(B278="",C278=""),"",IFERROR(INDEX(Vöruskrá!Q:Q,MATCH(B278,Vöruskrá!B:B,0))*C278/100000,""))</f>
        <v>0</v>
      </c>
      <c r="O278" s="221">
        <f>IF(OR(B278="",C278=""),"",IFERROR(C278/1000*INDEX(Vöruskrá!R:R,MATCH(B278,Vöruskrá!B:B,0))/1000,""))</f>
        <v>0</v>
      </c>
      <c r="P278" s="222"/>
      <c r="Q278" s="204"/>
      <c r="R278" s="27"/>
    </row>
    <row r="279" spans="1:18">
      <c r="A279" s="224"/>
      <c r="B279" s="224" t="s">
        <v>833</v>
      </c>
      <c r="C279" s="225">
        <v>1142</v>
      </c>
      <c r="D279" s="219" t="str">
        <f>IF(B279="","",IFERROR(INDEX(Vöruskrá!F:F,MATCH(B279,Vöruskrá!B:B,0)),""))</f>
        <v>Þykktur sítrónusafi, vatn.</v>
      </c>
      <c r="E279" s="219" t="str">
        <f>IF(B279="","",IFERROR(IF(INDEX(Vöruskrá!G:G,MATCH(B279,Vöruskrá!B:B,0))="","Engir skráðir",INDEX(Vöruskrá!G:G,MATCH(B279,Vöruskrá!B:B,0))),"Engir skráðir"))</f>
        <v>Engir skráðir</v>
      </c>
      <c r="F279" s="219">
        <f>IF(B279="","",IFERROR(INDEX(Vöruskrá!H:H,MATCH(B279,Vöruskrá!B:B,0)),""))</f>
        <v>0</v>
      </c>
      <c r="G279" s="220">
        <f>IF(OR(B279="",C279=""),"",IFERROR(INDEX(Vöruskrá!J:J,MATCH(B279,Vöruskrá!B:B,0))*C279/100000,""))</f>
        <v>0.35402</v>
      </c>
      <c r="H279" s="220">
        <f>IF(OR(B279="",C279=""),"",IFERROR(INDEX(Vöruskrá!K:K,MATCH(B279,Vöruskrá!B:B,0))*C279/100000,""))</f>
        <v>2.284E-3</v>
      </c>
      <c r="I279" s="220">
        <f>IF(OR(B279="",C279=""),"",IFERROR(INDEX(Vöruskrá!L:L,MATCH(B279,Vöruskrá!B:B,0))*C279/100000,""))</f>
        <v>0</v>
      </c>
      <c r="J279" s="220">
        <f>IF(OR(B279="",C279=""),"",IFERROR(INDEX(Vöruskrá!M:M,MATCH(B279,Vöruskrá!B:B,0))*C279/100000,""))</f>
        <v>7.8798000000000007E-2</v>
      </c>
      <c r="K279" s="220">
        <f>IF(OR(B279="",C279=""),"",IFERROR(INDEX(Vöruskrá!N:N,MATCH(B279,Vöruskrá!B:B,0))*C279/100000,""))</f>
        <v>2.7407999999999998E-2</v>
      </c>
      <c r="L279" s="220">
        <f>IF(OR(B279="",C279=""),"",IFERROR(INDEX(Vöruskrá!O:O,MATCH(B279,Vöruskrá!B:B,0))*C279/100000,""))</f>
        <v>0</v>
      </c>
      <c r="M279" s="220">
        <f>IF(OR(B279="",C279=""),"",IFERROR(INDEX(Vöruskrá!P:P,MATCH(B279,Vöruskrá!B:B,0))*C279/100000,""))</f>
        <v>0</v>
      </c>
      <c r="N279" s="220">
        <f>IF(OR(B279="",C279=""),"",IFERROR(INDEX(Vöruskrá!Q:Q,MATCH(B279,Vöruskrá!B:B,0))*C279/100000,""))</f>
        <v>0</v>
      </c>
      <c r="O279" s="221">
        <f>IF(OR(B279="",C279=""),"",IFERROR(C279/1000*INDEX(Vöruskrá!R:R,MATCH(B279,Vöruskrá!B:B,0))/1000,""))</f>
        <v>0</v>
      </c>
      <c r="P279" s="224"/>
      <c r="Q279" s="205"/>
      <c r="R279" s="6"/>
    </row>
    <row r="280" spans="1:18">
      <c r="A280" s="222"/>
      <c r="B280" s="222" t="s">
        <v>1030</v>
      </c>
      <c r="C280" s="223">
        <v>1142</v>
      </c>
      <c r="D280" s="219" t="str">
        <f>IF(B280="","",IFERROR(INDEX(Vöruskrá!F:F,MATCH(B280,Vöruskrá!B:B,0)),""))</f>
        <v>Þurrkuð steinselja (Petroselinum sativum Hoffm)</v>
      </c>
      <c r="E280" s="219" t="str">
        <f>IF(B280="","",IFERROR(IF(INDEX(Vöruskrá!G:G,MATCH(B280,Vöruskrá!B:B,0))="","Engir skráðir",INDEX(Vöruskrá!G:G,MATCH(B280,Vöruskrá!B:B,0))),"Engir skráðir"))</f>
        <v>Engir skráðir</v>
      </c>
      <c r="F280" s="219" t="str">
        <f>IF(B280="","",IFERROR(INDEX(Vöruskrá!H:H,MATCH(B280,Vöruskrá!B:B,0)),""))</f>
        <v>Framleitt á svæði þar sem unnið er með glúten, fisk, mjólk, soja, sellerí, sinnep og sesam.</v>
      </c>
      <c r="G280" s="220">
        <f>IF(OR(B280="",C280=""),"",IFERROR(INDEX(Vöruskrá!J:J,MATCH(B280,Vöruskrá!B:B,0))*C280/100000,""))</f>
        <v>3.3346399999999998</v>
      </c>
      <c r="H280" s="220">
        <f>IF(OR(B280="",C280=""),"",IFERROR(INDEX(Vöruskrá!K:K,MATCH(B280,Vöruskrá!B:B,0))*C280/100000,""))</f>
        <v>6.2810000000000005E-2</v>
      </c>
      <c r="I280" s="220">
        <f>IF(OR(B280="",C280=""),"",IFERROR(INDEX(Vöruskrá!L:L,MATCH(B280,Vöruskrá!B:B,0))*C280/100000,""))</f>
        <v>1.0277999999999999E-2</v>
      </c>
      <c r="J280" s="220">
        <f>IF(OR(B280="",C280=""),"",IFERROR(INDEX(Vöruskrá!M:M,MATCH(B280,Vöruskrá!B:B,0))*C280/100000,""))</f>
        <v>0.57099999999999995</v>
      </c>
      <c r="K280" s="220">
        <f>IF(OR(B280="",C280=""),"",IFERROR(INDEX(Vöruskrá!N:N,MATCH(B280,Vöruskrá!B:B,0))*C280/100000,""))</f>
        <v>4.5679999999999998E-2</v>
      </c>
      <c r="L280" s="220">
        <f>IF(OR(B280="",C280=""),"",IFERROR(INDEX(Vöruskrá!O:O,MATCH(B280,Vöruskrá!B:B,0))*C280/100000,""))</f>
        <v>0.30377199999999999</v>
      </c>
      <c r="M280" s="220">
        <f>IF(OR(B280="",C280=""),"",IFERROR(INDEX(Vöruskrá!P:P,MATCH(B280,Vöruskrá!B:B,0))*C280/100000,""))</f>
        <v>1.142E-3</v>
      </c>
      <c r="N280" s="220">
        <f>IF(OR(B280="",C280=""),"",IFERROR(INDEX(Vöruskrá!Q:Q,MATCH(B280,Vöruskrá!B:B,0))*C280/100000,""))</f>
        <v>0.30491399999999996</v>
      </c>
      <c r="O280" s="221">
        <f>IF(OR(B280="",C280=""),"",IFERROR(C280/1000*INDEX(Vöruskrá!R:R,MATCH(B280,Vöruskrá!B:B,0))/1000,""))</f>
        <v>0</v>
      </c>
      <c r="P280" s="222"/>
      <c r="Q280" s="204"/>
      <c r="R280" s="27"/>
    </row>
    <row r="281" spans="1:18">
      <c r="A281" s="224"/>
      <c r="B281" s="224" t="s">
        <v>299</v>
      </c>
      <c r="C281" s="225">
        <v>913</v>
      </c>
      <c r="D281" s="219" t="str">
        <f>IF(B281="","",IFERROR(INDEX(Vöruskrá!F:F,MATCH(B281,Vöruskrá!B:B,0)),""))</f>
        <v>Salt (salt, kekkjavarnarefni E535, lyftiefni E500).</v>
      </c>
      <c r="E281" s="219" t="str">
        <f>IF(B281="","",IFERROR(IF(INDEX(Vöruskrá!G:G,MATCH(B281,Vöruskrá!B:B,0))="","Engir skráðir",INDEX(Vöruskrá!G:G,MATCH(B281,Vöruskrá!B:B,0))),"Engir skráðir"))</f>
        <v>Engir skráðir</v>
      </c>
      <c r="F281" s="219" t="str">
        <f>IF(B281="","",IFERROR(INDEX(Vöruskrá!H:H,MATCH(B281,Vöruskrá!B:B,0)),""))</f>
        <v>Framleitt á svæði þar sem unnið er með mjólk, glúten, egg, sesam, sellerí, soja og sinnep.</v>
      </c>
      <c r="G281" s="220">
        <f>IF(OR(B281="",C281=""),"",IFERROR(INDEX(Vöruskrá!J:J,MATCH(B281,Vöruskrá!B:B,0))*C281/100000,""))</f>
        <v>0</v>
      </c>
      <c r="H281" s="220">
        <f>IF(OR(B281="",C281=""),"",IFERROR(INDEX(Vöruskrá!K:K,MATCH(B281,Vöruskrá!B:B,0))*C281/100000,""))</f>
        <v>0</v>
      </c>
      <c r="I281" s="220">
        <f>IF(OR(B281="",C281=""),"",IFERROR(INDEX(Vöruskrá!L:L,MATCH(B281,Vöruskrá!B:B,0))*C281/100000,""))</f>
        <v>0</v>
      </c>
      <c r="J281" s="220">
        <f>IF(OR(B281="",C281=""),"",IFERROR(INDEX(Vöruskrá!M:M,MATCH(B281,Vöruskrá!B:B,0))*C281/100000,""))</f>
        <v>0</v>
      </c>
      <c r="K281" s="220">
        <f>IF(OR(B281="",C281=""),"",IFERROR(INDEX(Vöruskrá!N:N,MATCH(B281,Vöruskrá!B:B,0))*C281/100000,""))</f>
        <v>0</v>
      </c>
      <c r="L281" s="220">
        <f>IF(OR(B281="",C281=""),"",IFERROR(INDEX(Vöruskrá!O:O,MATCH(B281,Vöruskrá!B:B,0))*C281/100000,""))</f>
        <v>0</v>
      </c>
      <c r="M281" s="220">
        <f>IF(OR(B281="",C281=""),"",IFERROR(INDEX(Vöruskrá!P:P,MATCH(B281,Vöruskrá!B:B,0))*C281/100000,""))</f>
        <v>0.91300000000000003</v>
      </c>
      <c r="N281" s="220">
        <f>IF(OR(B281="",C281=""),"",IFERROR(INDEX(Vöruskrá!Q:Q,MATCH(B281,Vöruskrá!B:B,0))*C281/100000,""))</f>
        <v>0</v>
      </c>
      <c r="O281" s="221">
        <f>IF(OR(B281="",C281=""),"",IFERROR(C281/1000*INDEX(Vöruskrá!R:R,MATCH(B281,Vöruskrá!B:B,0))/1000,""))</f>
        <v>0</v>
      </c>
      <c r="P281" s="224"/>
      <c r="Q281" s="205"/>
      <c r="R281" s="6"/>
    </row>
    <row r="282" spans="1:18">
      <c r="A282" s="222"/>
      <c r="B282" s="222" t="s">
        <v>819</v>
      </c>
      <c r="C282" s="223">
        <v>342</v>
      </c>
      <c r="D282" s="219" t="str">
        <f>IF(B282="","",IFERROR(INDEX(Vöruskrá!F:F,MATCH(B282,Vöruskrá!B:B,0)),""))</f>
        <v>Svartur pipar 100% (Piper nigrum), hitaþurrkað.</v>
      </c>
      <c r="E282" s="219" t="str">
        <f>IF(B282="","",IFERROR(IF(INDEX(Vöruskrá!G:G,MATCH(B282,Vöruskrá!B:B,0))="","Engir skráðir",INDEX(Vöruskrá!G:G,MATCH(B282,Vöruskrá!B:B,0))),"Engir skráðir"))</f>
        <v>Engir skráðir</v>
      </c>
      <c r="F282" s="219" t="str">
        <f>IF(B282="","",IFERROR(INDEX(Vöruskrá!H:H,MATCH(B282,Vöruskrá!B:B,0)),""))</f>
        <v>Framleitt á svæði þar sem unnið er með glúten, fisk, krabbadýr, lindýr, mjólk, soja, sellerí, sinnep og sesam.</v>
      </c>
      <c r="G282" s="220">
        <f>IF(OR(B282="",C282=""),"",IFERROR(INDEX(Vöruskrá!J:J,MATCH(B282,Vöruskrá!B:B,0))*C282/100000,""))</f>
        <v>1.32012</v>
      </c>
      <c r="H282" s="220">
        <f>IF(OR(B282="",C282=""),"",IFERROR(INDEX(Vöruskrá!K:K,MATCH(B282,Vöruskrá!B:B,0))*C282/100000,""))</f>
        <v>1.1285999999999999E-2</v>
      </c>
      <c r="I282" s="220">
        <f>IF(OR(B282="",C282=""),"",IFERROR(INDEX(Vöruskrá!L:L,MATCH(B282,Vöruskrá!B:B,0))*C282/100000,""))</f>
        <v>3.4199999999999999E-3</v>
      </c>
      <c r="J282" s="220">
        <f>IF(OR(B282="",C282=""),"",IFERROR(INDEX(Vöruskrá!M:M,MATCH(B282,Vöruskrá!B:B,0))*C282/100000,""))</f>
        <v>0.2223</v>
      </c>
      <c r="K282" s="220">
        <f>IF(OR(B282="",C282=""),"",IFERROR(INDEX(Vöruskrá!N:N,MATCH(B282,Vöruskrá!B:B,0))*C282/100000,""))</f>
        <v>2.052E-3</v>
      </c>
      <c r="L282" s="220">
        <f>IF(OR(B282="",C282=""),"",IFERROR(INDEX(Vöruskrá!O:O,MATCH(B282,Vöruskrá!B:B,0))*C282/100000,""))</f>
        <v>3.7620000000000001E-2</v>
      </c>
      <c r="M282" s="220">
        <f>IF(OR(B282="",C282=""),"",IFERROR(INDEX(Vöruskrá!P:P,MATCH(B282,Vöruskrá!B:B,0))*C282/100000,""))</f>
        <v>3.4200000000000002E-4</v>
      </c>
      <c r="N282" s="220">
        <f>IF(OR(B282="",C282=""),"",IFERROR(INDEX(Vöruskrá!Q:Q,MATCH(B282,Vöruskrá!B:B,0))*C282/100000,""))</f>
        <v>0</v>
      </c>
      <c r="O282" s="221">
        <f>IF(OR(B282="",C282=""),"",IFERROR(C282/1000*INDEX(Vöruskrá!R:R,MATCH(B282,Vöruskrá!B:B,0))/1000,""))</f>
        <v>0</v>
      </c>
      <c r="P282" s="222"/>
      <c r="Q282" s="204"/>
      <c r="R282" s="27"/>
    </row>
    <row r="283" spans="1:18" ht="26">
      <c r="A283" s="176" t="s">
        <v>3699</v>
      </c>
      <c r="B283" s="176"/>
      <c r="C283" s="177"/>
      <c r="D283" s="216" t="str">
        <f>_xlfn.TEXTJOIN(" | ",TRUE,D284:D290)</f>
        <v>Ýsa | 0 | 0 | **Mjólk**. Fitusprengd og gerilsneydd. | 0 | Salt (salt, kekkjavarnarefni E535, lyftiefni E500). | Repjuolía</v>
      </c>
      <c r="E283" s="216" t="str" cm="1">
        <f t="array" ref="E283">IFERROR(_xlfn.TEXTJOIN(", ",TRUE,_xlfn.UNIQUE(_xlfn._xlws.FILTER(E284:E290,(E284:E290&lt;&gt;"Engir skráðir")*(E284:E290&lt;&gt;"")))),"Engir skráðir")</f>
        <v>Fiskur, Mjólk</v>
      </c>
      <c r="F283" s="216"/>
      <c r="G283" s="217">
        <f>IFERROR(SUM(G284:G290)/(SUM($C$284:$C$290)/100000),"")</f>
        <v>122.3603</v>
      </c>
      <c r="H283" s="217">
        <f>IFERROR(SUM(H284:H290)/(SUM($C$284:$C$290)/100000),"")</f>
        <v>5.4692069999999999</v>
      </c>
      <c r="I283" s="217">
        <f>IFERROR(SUM(I284:I290)/(SUM($C$284:$C$290)/100000),"")</f>
        <v>0.48073099999999996</v>
      </c>
      <c r="J283" s="217">
        <f>IFERROR(SUM(J284:J290)/(SUM($C$284:$C$290)/100000),"")</f>
        <v>3.26688</v>
      </c>
      <c r="K283" s="217">
        <f>IFERROR(SUM(K284:K290)/(SUM($C$284:$C$290)/100000),"")</f>
        <v>1.4605049999999999</v>
      </c>
      <c r="L283" s="217">
        <f>IFERROR(SUM(L284:L290)/(SUM($C$284:$C$290)/100000),"")</f>
        <v>17.8217</v>
      </c>
      <c r="M283" s="217">
        <f>IFERROR(SUM(M284:M290)/(SUM($C$284:$C$290)/100000),"")</f>
        <v>1.0051030000000001</v>
      </c>
      <c r="N283" s="217">
        <f>IFERROR(SUM(N284:N290)/(SUM($C$284:$C$290)/100000),"")</f>
        <v>0</v>
      </c>
      <c r="O283" s="218" t="str">
        <f>IF(OR(B283="",C283=""),"",IFERROR(C283/1000*INDEX(Vöruskrá!R:R,MATCH(B283,Vöruskrá!B:B,0))/1000,""))</f>
        <v/>
      </c>
      <c r="P283" s="176" t="s">
        <v>3700</v>
      </c>
      <c r="Q283" s="205"/>
      <c r="R283" s="6"/>
    </row>
    <row r="284" spans="1:18">
      <c r="A284" s="222"/>
      <c r="B284" s="222" t="s">
        <v>926</v>
      </c>
      <c r="C284" s="223">
        <v>77071</v>
      </c>
      <c r="D284" s="219" t="str">
        <f>IF(B284="","",IFERROR(INDEX(Vöruskrá!F:F,MATCH(B284,Vöruskrá!B:B,0)),""))</f>
        <v>Ýsa</v>
      </c>
      <c r="E284" s="219" t="str">
        <f>IF(B284="","",IFERROR(IF(INDEX(Vöruskrá!G:G,MATCH(B284,Vöruskrá!B:B,0))="","Engir skráðir",INDEX(Vöruskrá!G:G,MATCH(B284,Vöruskrá!B:B,0))),"Engir skráðir"))</f>
        <v>Fiskur</v>
      </c>
      <c r="F284" s="219">
        <f>IF(B284="","",IFERROR(INDEX(Vöruskrá!H:H,MATCH(B284,Vöruskrá!B:B,0)),""))</f>
        <v>0</v>
      </c>
      <c r="G284" s="220">
        <f>IF(OR(B284="",C284=""),"",IFERROR(INDEX(Vöruskrá!J:J,MATCH(B284,Vöruskrá!B:B,0))*C284/100000,""))</f>
        <v>77.070999999999998</v>
      </c>
      <c r="H284" s="220">
        <f>IF(OR(B284="",C284=""),"",IFERROR(INDEX(Vöruskrá!K:K,MATCH(B284,Vöruskrá!B:B,0))*C284/100000,""))</f>
        <v>0.539497</v>
      </c>
      <c r="I284" s="220">
        <f>IF(OR(B284="",C284=""),"",IFERROR(INDEX(Vöruskrá!L:L,MATCH(B284,Vöruskrá!B:B,0))*C284/100000,""))</f>
        <v>7.7071000000000001E-2</v>
      </c>
      <c r="J284" s="220">
        <f>IF(OR(B284="",C284=""),"",IFERROR(INDEX(Vöruskrá!M:M,MATCH(B284,Vöruskrá!B:B,0))*C284/100000,""))</f>
        <v>0</v>
      </c>
      <c r="K284" s="220">
        <f>IF(OR(B284="",C284=""),"",IFERROR(INDEX(Vöruskrá!N:N,MATCH(B284,Vöruskrá!B:B,0))*C284/100000,""))</f>
        <v>0</v>
      </c>
      <c r="L284" s="220">
        <f>IF(OR(B284="",C284=""),"",IFERROR(INDEX(Vöruskrá!O:O,MATCH(B284,Vöruskrá!B:B,0))*C284/100000,""))</f>
        <v>17.726330000000001</v>
      </c>
      <c r="M284" s="220">
        <f>IF(OR(B284="",C284=""),"",IFERROR(INDEX(Vöruskrá!P:P,MATCH(B284,Vöruskrá!B:B,0))*C284/100000,""))</f>
        <v>0.231213</v>
      </c>
      <c r="N284" s="220">
        <f>IF(OR(B284="",C284=""),"",IFERROR(INDEX(Vöruskrá!Q:Q,MATCH(B284,Vöruskrá!B:B,0))*C284/100000,""))</f>
        <v>0</v>
      </c>
      <c r="O284" s="221">
        <f>IF(OR(B284="",C284=""),"",IFERROR(C284/1000*INDEX(Vöruskrá!R:R,MATCH(B284,Vöruskrá!B:B,0))/1000,""))</f>
        <v>0</v>
      </c>
      <c r="P284" s="222"/>
      <c r="Q284" s="204"/>
      <c r="R284" s="27"/>
    </row>
    <row r="285" spans="1:18">
      <c r="A285" s="224"/>
      <c r="B285" s="224" t="s">
        <v>3640</v>
      </c>
      <c r="C285" s="225">
        <v>4817</v>
      </c>
      <c r="D285" s="219">
        <f>IF(B285="","",IFERROR(INDEX(Vöruskrá!F:F,MATCH(B285,Vöruskrá!B:B,0)),""))</f>
        <v>0</v>
      </c>
      <c r="E285" s="219" t="str">
        <f>IF(B285="","",IFERROR(IF(INDEX(Vöruskrá!G:G,MATCH(B285,Vöruskrá!B:B,0))="","Engir skráðir",INDEX(Vöruskrá!G:G,MATCH(B285,Vöruskrá!B:B,0))),"Engir skráðir"))</f>
        <v>Engir skráðir</v>
      </c>
      <c r="F285" s="219">
        <f>IF(B285="","",IFERROR(INDEX(Vöruskrá!H:H,MATCH(B285,Vöruskrá!B:B,0)),""))</f>
        <v>0</v>
      </c>
      <c r="G285" s="220">
        <f>IF(OR(B285="",C285=""),"",IFERROR(INDEX(Vöruskrá!J:J,MATCH(B285,Vöruskrá!B:B,0))*C285/100000,""))</f>
        <v>0</v>
      </c>
      <c r="H285" s="220">
        <f>IF(OR(B285="",C285=""),"",IFERROR(INDEX(Vöruskrá!K:K,MATCH(B285,Vöruskrá!B:B,0))*C285/100000,""))</f>
        <v>0</v>
      </c>
      <c r="I285" s="220">
        <f>IF(OR(B285="",C285=""),"",IFERROR(INDEX(Vöruskrá!L:L,MATCH(B285,Vöruskrá!B:B,0))*C285/100000,""))</f>
        <v>0</v>
      </c>
      <c r="J285" s="220">
        <f>IF(OR(B285="",C285=""),"",IFERROR(INDEX(Vöruskrá!M:M,MATCH(B285,Vöruskrá!B:B,0))*C285/100000,""))</f>
        <v>0</v>
      </c>
      <c r="K285" s="220">
        <f>IF(OR(B285="",C285=""),"",IFERROR(INDEX(Vöruskrá!N:N,MATCH(B285,Vöruskrá!B:B,0))*C285/100000,""))</f>
        <v>0</v>
      </c>
      <c r="L285" s="220">
        <f>IF(OR(B285="",C285=""),"",IFERROR(INDEX(Vöruskrá!O:O,MATCH(B285,Vöruskrá!B:B,0))*C285/100000,""))</f>
        <v>0</v>
      </c>
      <c r="M285" s="220">
        <f>IF(OR(B285="",C285=""),"",IFERROR(INDEX(Vöruskrá!P:P,MATCH(B285,Vöruskrá!B:B,0))*C285/100000,""))</f>
        <v>0</v>
      </c>
      <c r="N285" s="220">
        <f>IF(OR(B285="",C285=""),"",IFERROR(INDEX(Vöruskrá!Q:Q,MATCH(B285,Vöruskrá!B:B,0))*C285/100000,""))</f>
        <v>0</v>
      </c>
      <c r="O285" s="221">
        <f>IF(OR(B285="",C285=""),"",IFERROR(C285/1000*INDEX(Vöruskrá!R:R,MATCH(B285,Vöruskrá!B:B,0))/1000,""))</f>
        <v>0</v>
      </c>
      <c r="P285" s="224"/>
      <c r="Q285" s="205"/>
      <c r="R285" s="6"/>
    </row>
    <row r="286" spans="1:18">
      <c r="A286" s="222"/>
      <c r="B286" s="222" t="s">
        <v>2420</v>
      </c>
      <c r="C286" s="223">
        <v>4817</v>
      </c>
      <c r="D286" s="219">
        <f>IF(B286="","",IFERROR(INDEX(Vöruskrá!F:F,MATCH(B286,Vöruskrá!B:B,0)),""))</f>
        <v>0</v>
      </c>
      <c r="E286" s="219" t="str">
        <f>IF(B286="","",IFERROR(IF(INDEX(Vöruskrá!G:G,MATCH(B286,Vöruskrá!B:B,0))="","Engir skráðir",INDEX(Vöruskrá!G:G,MATCH(B286,Vöruskrá!B:B,0))),"Engir skráðir"))</f>
        <v>Engir skráðir</v>
      </c>
      <c r="F286" s="219">
        <f>IF(B286="","",IFERROR(INDEX(Vöruskrá!H:H,MATCH(B286,Vöruskrá!B:B,0)),""))</f>
        <v>0</v>
      </c>
      <c r="G286" s="220">
        <f>IF(OR(B286="",C286=""),"",IFERROR(INDEX(Vöruskrá!J:J,MATCH(B286,Vöruskrá!B:B,0))*C286/100000,""))</f>
        <v>0</v>
      </c>
      <c r="H286" s="220">
        <f>IF(OR(B286="",C286=""),"",IFERROR(INDEX(Vöruskrá!K:K,MATCH(B286,Vöruskrá!B:B,0))*C286/100000,""))</f>
        <v>0</v>
      </c>
      <c r="I286" s="220">
        <f>IF(OR(B286="",C286=""),"",IFERROR(INDEX(Vöruskrá!L:L,MATCH(B286,Vöruskrá!B:B,0))*C286/100000,""))</f>
        <v>0</v>
      </c>
      <c r="J286" s="220">
        <f>IF(OR(B286="",C286=""),"",IFERROR(INDEX(Vöruskrá!M:M,MATCH(B286,Vöruskrá!B:B,0))*C286/100000,""))</f>
        <v>0</v>
      </c>
      <c r="K286" s="220">
        <f>IF(OR(B286="",C286=""),"",IFERROR(INDEX(Vöruskrá!N:N,MATCH(B286,Vöruskrá!B:B,0))*C286/100000,""))</f>
        <v>0</v>
      </c>
      <c r="L286" s="220">
        <f>IF(OR(B286="",C286=""),"",IFERROR(INDEX(Vöruskrá!O:O,MATCH(B286,Vöruskrá!B:B,0))*C286/100000,""))</f>
        <v>0</v>
      </c>
      <c r="M286" s="220">
        <f>IF(OR(B286="",C286=""),"",IFERROR(INDEX(Vöruskrá!P:P,MATCH(B286,Vöruskrá!B:B,0))*C286/100000,""))</f>
        <v>0</v>
      </c>
      <c r="N286" s="220">
        <f>IF(OR(B286="",C286=""),"",IFERROR(INDEX(Vöruskrá!Q:Q,MATCH(B286,Vöruskrá!B:B,0))*C286/100000,""))</f>
        <v>0</v>
      </c>
      <c r="O286" s="221">
        <f>IF(OR(B286="",C286=""),"",IFERROR(C286/1000*INDEX(Vöruskrá!R:R,MATCH(B286,Vöruskrá!B:B,0))/1000,""))</f>
        <v>0</v>
      </c>
      <c r="P286" s="222"/>
      <c r="Q286" s="204"/>
      <c r="R286" s="27"/>
    </row>
    <row r="287" spans="1:18">
      <c r="A287" s="224"/>
      <c r="B287" s="224" t="s">
        <v>849</v>
      </c>
      <c r="C287" s="225">
        <v>2890</v>
      </c>
      <c r="D287" s="219" t="str">
        <f>IF(B287="","",IFERROR(INDEX(Vöruskrá!F:F,MATCH(B287,Vöruskrá!B:B,0)),""))</f>
        <v>**Mjólk**. Fitusprengd og gerilsneydd.</v>
      </c>
      <c r="E287" s="219" t="str">
        <f>IF(B287="","",IFERROR(IF(INDEX(Vöruskrá!G:G,MATCH(B287,Vöruskrá!B:B,0))="","Engir skráðir",INDEX(Vöruskrá!G:G,MATCH(B287,Vöruskrá!B:B,0))),"Engir skráðir"))</f>
        <v>Mjólk</v>
      </c>
      <c r="F287" s="219">
        <f>IF(B287="","",IFERROR(INDEX(Vöruskrá!H:H,MATCH(B287,Vöruskrá!B:B,0)),""))</f>
        <v>0</v>
      </c>
      <c r="G287" s="220">
        <f>IF(OR(B287="",C287=""),"",IFERROR(INDEX(Vöruskrá!J:J,MATCH(B287,Vöruskrá!B:B,0))*C287/100000,""))</f>
        <v>1.9362999999999999</v>
      </c>
      <c r="H287" s="220">
        <f>IF(OR(B287="",C287=""),"",IFERROR(INDEX(Vöruskrá!K:K,MATCH(B287,Vöruskrá!B:B,0))*C287/100000,""))</f>
        <v>0.11271</v>
      </c>
      <c r="I287" s="220">
        <f>IF(OR(B287="",C287=""),"",IFERROR(INDEX(Vöruskrá!L:L,MATCH(B287,Vöruskrá!B:B,0))*C287/100000,""))</f>
        <v>6.6469999999999987E-2</v>
      </c>
      <c r="J287" s="220">
        <f>IF(OR(B287="",C287=""),"",IFERROR(INDEX(Vöruskrá!M:M,MATCH(B287,Vöruskrá!B:B,0))*C287/100000,""))</f>
        <v>0.13583000000000001</v>
      </c>
      <c r="K287" s="220">
        <f>IF(OR(B287="",C287=""),"",IFERROR(INDEX(Vöruskrá!N:N,MATCH(B287,Vöruskrá!B:B,0))*C287/100000,""))</f>
        <v>0.13583000000000001</v>
      </c>
      <c r="L287" s="220">
        <f>IF(OR(B287="",C287=""),"",IFERROR(INDEX(Vöruskrá!O:O,MATCH(B287,Vöruskrá!B:B,0))*C287/100000,""))</f>
        <v>9.5369999999999996E-2</v>
      </c>
      <c r="M287" s="220">
        <f>IF(OR(B287="",C287=""),"",IFERROR(INDEX(Vöruskrá!P:P,MATCH(B287,Vöruskrá!B:B,0))*C287/100000,""))</f>
        <v>2.8900000000000002E-3</v>
      </c>
      <c r="N287" s="220">
        <f>IF(OR(B287="",C287=""),"",IFERROR(INDEX(Vöruskrá!Q:Q,MATCH(B287,Vöruskrá!B:B,0))*C287/100000,""))</f>
        <v>0</v>
      </c>
      <c r="O287" s="221">
        <f>IF(OR(B287="",C287=""),"",IFERROR(C287/1000*INDEX(Vöruskrá!R:R,MATCH(B287,Vöruskrá!B:B,0))/1000,""))</f>
        <v>0</v>
      </c>
      <c r="P287" s="224"/>
      <c r="Q287" s="205"/>
      <c r="R287" s="6"/>
    </row>
    <row r="288" spans="1:18">
      <c r="A288" s="222"/>
      <c r="B288" s="222" t="s">
        <v>3641</v>
      </c>
      <c r="C288" s="223">
        <v>4817</v>
      </c>
      <c r="D288" s="219">
        <f>IF(B288="","",IFERROR(INDEX(Vöruskrá!F:F,MATCH(B288,Vöruskrá!B:B,0)),""))</f>
        <v>0</v>
      </c>
      <c r="E288" s="219" t="str">
        <f>IF(B288="","",IFERROR(IF(INDEX(Vöruskrá!G:G,MATCH(B288,Vöruskrá!B:B,0))="","Engir skráðir",INDEX(Vöruskrá!G:G,MATCH(B288,Vöruskrá!B:B,0))),"Engir skráðir"))</f>
        <v>Engir skráðir</v>
      </c>
      <c r="F288" s="219">
        <f>IF(B288="","",IFERROR(INDEX(Vöruskrá!H:H,MATCH(B288,Vöruskrá!B:B,0)),""))</f>
        <v>0</v>
      </c>
      <c r="G288" s="220">
        <f>IF(OR(B288="",C288=""),"",IFERROR(INDEX(Vöruskrá!J:J,MATCH(B288,Vöruskrá!B:B,0))*C288/100000,""))</f>
        <v>0</v>
      </c>
      <c r="H288" s="220">
        <f>IF(OR(B288="",C288=""),"",IFERROR(INDEX(Vöruskrá!K:K,MATCH(B288,Vöruskrá!B:B,0))*C288/100000,""))</f>
        <v>0</v>
      </c>
      <c r="I288" s="220">
        <f>IF(OR(B288="",C288=""),"",IFERROR(INDEX(Vöruskrá!L:L,MATCH(B288,Vöruskrá!B:B,0))*C288/100000,""))</f>
        <v>0</v>
      </c>
      <c r="J288" s="220">
        <f>IF(OR(B288="",C288=""),"",IFERROR(INDEX(Vöruskrá!M:M,MATCH(B288,Vöruskrá!B:B,0))*C288/100000,""))</f>
        <v>0</v>
      </c>
      <c r="K288" s="220">
        <f>IF(OR(B288="",C288=""),"",IFERROR(INDEX(Vöruskrá!N:N,MATCH(B288,Vöruskrá!B:B,0))*C288/100000,""))</f>
        <v>0</v>
      </c>
      <c r="L288" s="220">
        <f>IF(OR(B288="",C288=""),"",IFERROR(INDEX(Vöruskrá!O:O,MATCH(B288,Vöruskrá!B:B,0))*C288/100000,""))</f>
        <v>0</v>
      </c>
      <c r="M288" s="220">
        <f>IF(OR(B288="",C288=""),"",IFERROR(INDEX(Vöruskrá!P:P,MATCH(B288,Vöruskrá!B:B,0))*C288/100000,""))</f>
        <v>0</v>
      </c>
      <c r="N288" s="220">
        <f>IF(OR(B288="",C288=""),"",IFERROR(INDEX(Vöruskrá!Q:Q,MATCH(B288,Vöruskrá!B:B,0))*C288/100000,""))</f>
        <v>0</v>
      </c>
      <c r="O288" s="221">
        <f>IF(OR(B288="",C288=""),"",IFERROR(C288/1000*INDEX(Vöruskrá!R:R,MATCH(B288,Vöruskrá!B:B,0))/1000,""))</f>
        <v>0</v>
      </c>
      <c r="P288" s="222"/>
      <c r="Q288" s="204"/>
      <c r="R288" s="27"/>
    </row>
    <row r="289" spans="1:18">
      <c r="A289" s="224"/>
      <c r="B289" s="224" t="s">
        <v>299</v>
      </c>
      <c r="C289" s="225">
        <v>771</v>
      </c>
      <c r="D289" s="219" t="str">
        <f>IF(B289="","",IFERROR(INDEX(Vöruskrá!F:F,MATCH(B289,Vöruskrá!B:B,0)),""))</f>
        <v>Salt (salt, kekkjavarnarefni E535, lyftiefni E500).</v>
      </c>
      <c r="E289" s="219" t="str">
        <f>IF(B289="","",IFERROR(IF(INDEX(Vöruskrá!G:G,MATCH(B289,Vöruskrá!B:B,0))="","Engir skráðir",INDEX(Vöruskrá!G:G,MATCH(B289,Vöruskrá!B:B,0))),"Engir skráðir"))</f>
        <v>Engir skráðir</v>
      </c>
      <c r="F289" s="219" t="str">
        <f>IF(B289="","",IFERROR(INDEX(Vöruskrá!H:H,MATCH(B289,Vöruskrá!B:B,0)),""))</f>
        <v>Framleitt á svæði þar sem unnið er með mjólk, glúten, egg, sesam, sellerí, soja og sinnep.</v>
      </c>
      <c r="G289" s="220">
        <f>IF(OR(B289="",C289=""),"",IFERROR(INDEX(Vöruskrá!J:J,MATCH(B289,Vöruskrá!B:B,0))*C289/100000,""))</f>
        <v>0</v>
      </c>
      <c r="H289" s="220">
        <f>IF(OR(B289="",C289=""),"",IFERROR(INDEX(Vöruskrá!K:K,MATCH(B289,Vöruskrá!B:B,0))*C289/100000,""))</f>
        <v>0</v>
      </c>
      <c r="I289" s="220">
        <f>IF(OR(B289="",C289=""),"",IFERROR(INDEX(Vöruskrá!L:L,MATCH(B289,Vöruskrá!B:B,0))*C289/100000,""))</f>
        <v>0</v>
      </c>
      <c r="J289" s="220">
        <f>IF(OR(B289="",C289=""),"",IFERROR(INDEX(Vöruskrá!M:M,MATCH(B289,Vöruskrá!B:B,0))*C289/100000,""))</f>
        <v>0</v>
      </c>
      <c r="K289" s="220">
        <f>IF(OR(B289="",C289=""),"",IFERROR(INDEX(Vöruskrá!N:N,MATCH(B289,Vöruskrá!B:B,0))*C289/100000,""))</f>
        <v>0</v>
      </c>
      <c r="L289" s="220">
        <f>IF(OR(B289="",C289=""),"",IFERROR(INDEX(Vöruskrá!O:O,MATCH(B289,Vöruskrá!B:B,0))*C289/100000,""))</f>
        <v>0</v>
      </c>
      <c r="M289" s="220">
        <f>IF(OR(B289="",C289=""),"",IFERROR(INDEX(Vöruskrá!P:P,MATCH(B289,Vöruskrá!B:B,0))*C289/100000,""))</f>
        <v>0.77100000000000002</v>
      </c>
      <c r="N289" s="220">
        <f>IF(OR(B289="",C289=""),"",IFERROR(INDEX(Vöruskrá!Q:Q,MATCH(B289,Vöruskrá!B:B,0))*C289/100000,""))</f>
        <v>0</v>
      </c>
      <c r="O289" s="221">
        <f>IF(OR(B289="",C289=""),"",IFERROR(C289/1000*INDEX(Vöruskrá!R:R,MATCH(B289,Vöruskrá!B:B,0))/1000,""))</f>
        <v>0</v>
      </c>
      <c r="P289" s="224"/>
      <c r="Q289" s="205"/>
      <c r="R289" s="6"/>
    </row>
    <row r="290" spans="1:18">
      <c r="A290" s="222"/>
      <c r="B290" s="222" t="s">
        <v>1270</v>
      </c>
      <c r="C290" s="223">
        <v>4817</v>
      </c>
      <c r="D290" s="219" t="str">
        <f>IF(B290="","",IFERROR(INDEX(Vöruskrá!F:F,MATCH(B290,Vöruskrá!B:B,0)),""))</f>
        <v>Repjuolía</v>
      </c>
      <c r="E290" s="219" t="str">
        <f>IF(B290="","",IFERROR(IF(INDEX(Vöruskrá!G:G,MATCH(B290,Vöruskrá!B:B,0))="","Engir skráðir",INDEX(Vöruskrá!G:G,MATCH(B290,Vöruskrá!B:B,0))),"Engir skráðir"))</f>
        <v>Engir skráðir</v>
      </c>
      <c r="F290" s="219">
        <f>IF(B290="","",IFERROR(INDEX(Vöruskrá!H:H,MATCH(B290,Vöruskrá!B:B,0)),""))</f>
        <v>0</v>
      </c>
      <c r="G290" s="220">
        <f>IF(OR(B290="",C290=""),"",IFERROR(INDEX(Vöruskrá!J:J,MATCH(B290,Vöruskrá!B:B,0))*C290/100000,""))</f>
        <v>43.353000000000002</v>
      </c>
      <c r="H290" s="220">
        <f>IF(OR(B290="",C290=""),"",IFERROR(INDEX(Vöruskrá!K:K,MATCH(B290,Vöruskrá!B:B,0))*C290/100000,""))</f>
        <v>4.8170000000000002</v>
      </c>
      <c r="I290" s="220">
        <f>IF(OR(B290="",C290=""),"",IFERROR(INDEX(Vöruskrá!L:L,MATCH(B290,Vöruskrá!B:B,0))*C290/100000,""))</f>
        <v>0.33718999999999999</v>
      </c>
      <c r="J290" s="220">
        <f>IF(OR(B290="",C290=""),"",IFERROR(INDEX(Vöruskrá!M:M,MATCH(B290,Vöruskrá!B:B,0))*C290/100000,""))</f>
        <v>3.1310500000000001</v>
      </c>
      <c r="K290" s="220">
        <f>IF(OR(B290="",C290=""),"",IFERROR(INDEX(Vöruskrá!N:N,MATCH(B290,Vöruskrá!B:B,0))*C290/100000,""))</f>
        <v>1.324675</v>
      </c>
      <c r="L290" s="220">
        <f>IF(OR(B290="",C290=""),"",IFERROR(INDEX(Vöruskrá!O:O,MATCH(B290,Vöruskrá!B:B,0))*C290/100000,""))</f>
        <v>0</v>
      </c>
      <c r="M290" s="220">
        <f>IF(OR(B290="",C290=""),"",IFERROR(INDEX(Vöruskrá!P:P,MATCH(B290,Vöruskrá!B:B,0))*C290/100000,""))</f>
        <v>0</v>
      </c>
      <c r="N290" s="220">
        <f>IF(OR(B290="",C290=""),"",IFERROR(INDEX(Vöruskrá!Q:Q,MATCH(B290,Vöruskrá!B:B,0))*C290/100000,""))</f>
        <v>0</v>
      </c>
      <c r="O290" s="221">
        <f>IF(OR(B290="",C290=""),"",IFERROR(C290/1000*INDEX(Vöruskrá!R:R,MATCH(B290,Vöruskrá!B:B,0))/1000,""))</f>
        <v>0</v>
      </c>
      <c r="P290" s="222"/>
      <c r="Q290" s="204"/>
      <c r="R290" s="27"/>
    </row>
    <row r="291" spans="1:18" ht="26">
      <c r="A291" s="176" t="s">
        <v>3701</v>
      </c>
      <c r="B291" s="176"/>
      <c r="C291" s="177"/>
      <c r="D291" s="216" t="str">
        <f>_xlfn.TEXTJOIN(" | ",TRUE,D292:D299)</f>
        <v>Ýsa | Þurrkuð og möluð paprika (Capsicum annuum) | Kúmenfræ 100% (Cuminum cyminum) | Hvítlaukur | 0 | Þykktur sítrónusafi, vatn. | Salt (salt, kekkjavarnarefni E535, lyftiefni E500). | Svartur pipar 100% (Piper nigrum), hitaþurrkað.</v>
      </c>
      <c r="E291" s="216" t="str" cm="1">
        <f t="array" ref="E291">IFERROR(_xlfn.TEXTJOIN(", ",TRUE,_xlfn.UNIQUE(_xlfn._xlws.FILTER(E292:E299,(E292:E299&lt;&gt;"Engir skráðir")*(E292:E299&lt;&gt;"")))),"Engir skráðir")</f>
        <v>Fiskur</v>
      </c>
      <c r="F291" s="216"/>
      <c r="G291" s="217">
        <f>IFERROR(SUM(G292:G299)/(SUM($C$292:$C$299)/100000),"")</f>
        <v>100.06040939590605</v>
      </c>
      <c r="H291" s="217">
        <f>IFERROR(SUM(H292:H299)/(SUM($C$292:$C$299)/100000),"")</f>
        <v>0.9343316566834331</v>
      </c>
      <c r="I291" s="217">
        <f>IFERROR(SUM(I292:I299)/(SUM($C$292:$C$299)/100000),"")</f>
        <v>0.12614773852261477</v>
      </c>
      <c r="J291" s="217">
        <f>IFERROR(SUM(J292:J299)/(SUM($C$292:$C$299)/100000),"")</f>
        <v>1.5481465185348144</v>
      </c>
      <c r="K291" s="217">
        <f>IFERROR(SUM(K292:K299)/(SUM($C$292:$C$299)/100000),"")</f>
        <v>0.16821131788682112</v>
      </c>
      <c r="L291" s="217">
        <f>IFERROR(SUM(L292:L299)/(SUM($C$292:$C$299)/100000),"")</f>
        <v>21.376532234677654</v>
      </c>
      <c r="M291" s="217">
        <f>IFERROR(SUM(M292:M299)/(SUM($C$292:$C$299)/100000),"")</f>
        <v>1.1895861041389584</v>
      </c>
      <c r="N291" s="217">
        <f>IFERROR(SUM(N292:N299)/(SUM($C$292:$C$299)/100000),"")</f>
        <v>0.48363216367836315</v>
      </c>
      <c r="O291" s="218" t="str">
        <f>IF(OR(B291="",C291=""),"",IFERROR(C291/1000*INDEX(Vöruskrá!R:R,MATCH(B291,Vöruskrá!B:B,0))/1000,""))</f>
        <v/>
      </c>
      <c r="P291" s="176" t="s">
        <v>3702</v>
      </c>
      <c r="Q291" s="205"/>
      <c r="R291" s="6"/>
    </row>
    <row r="292" spans="1:18">
      <c r="A292" s="222"/>
      <c r="B292" s="222" t="s">
        <v>926</v>
      </c>
      <c r="C292" s="223">
        <v>91324</v>
      </c>
      <c r="D292" s="219" t="str">
        <f>IF(B292="","",IFERROR(INDEX(Vöruskrá!F:F,MATCH(B292,Vöruskrá!B:B,0)),""))</f>
        <v>Ýsa</v>
      </c>
      <c r="E292" s="219" t="str">
        <f>IF(B292="","",IFERROR(IF(INDEX(Vöruskrá!G:G,MATCH(B292,Vöruskrá!B:B,0))="","Engir skráðir",INDEX(Vöruskrá!G:G,MATCH(B292,Vöruskrá!B:B,0))),"Engir skráðir"))</f>
        <v>Fiskur</v>
      </c>
      <c r="F292" s="219">
        <f>IF(B292="","",IFERROR(INDEX(Vöruskrá!H:H,MATCH(B292,Vöruskrá!B:B,0)),""))</f>
        <v>0</v>
      </c>
      <c r="G292" s="220">
        <f>IF(OR(B292="",C292=""),"",IFERROR(INDEX(Vöruskrá!J:J,MATCH(B292,Vöruskrá!B:B,0))*C292/100000,""))</f>
        <v>91.323999999999998</v>
      </c>
      <c r="H292" s="220">
        <f>IF(OR(B292="",C292=""),"",IFERROR(INDEX(Vöruskrá!K:K,MATCH(B292,Vöruskrá!B:B,0))*C292/100000,""))</f>
        <v>0.63926799999999995</v>
      </c>
      <c r="I292" s="220">
        <f>IF(OR(B292="",C292=""),"",IFERROR(INDEX(Vöruskrá!L:L,MATCH(B292,Vöruskrá!B:B,0))*C292/100000,""))</f>
        <v>9.1324000000000002E-2</v>
      </c>
      <c r="J292" s="220">
        <f>IF(OR(B292="",C292=""),"",IFERROR(INDEX(Vöruskrá!M:M,MATCH(B292,Vöruskrá!B:B,0))*C292/100000,""))</f>
        <v>0</v>
      </c>
      <c r="K292" s="220">
        <f>IF(OR(B292="",C292=""),"",IFERROR(INDEX(Vöruskrá!N:N,MATCH(B292,Vöruskrá!B:B,0))*C292/100000,""))</f>
        <v>0</v>
      </c>
      <c r="L292" s="220">
        <f>IF(OR(B292="",C292=""),"",IFERROR(INDEX(Vöruskrá!O:O,MATCH(B292,Vöruskrá!B:B,0))*C292/100000,""))</f>
        <v>21.004519999999999</v>
      </c>
      <c r="M292" s="220">
        <f>IF(OR(B292="",C292=""),"",IFERROR(INDEX(Vöruskrá!P:P,MATCH(B292,Vöruskrá!B:B,0))*C292/100000,""))</f>
        <v>0.27397199999999999</v>
      </c>
      <c r="N292" s="220">
        <f>IF(OR(B292="",C292=""),"",IFERROR(INDEX(Vöruskrá!Q:Q,MATCH(B292,Vöruskrá!B:B,0))*C292/100000,""))</f>
        <v>0</v>
      </c>
      <c r="O292" s="221">
        <f>IF(OR(B292="",C292=""),"",IFERROR(C292/1000*INDEX(Vöruskrá!R:R,MATCH(B292,Vöruskrá!B:B,0))/1000,""))</f>
        <v>0</v>
      </c>
      <c r="P292" s="222"/>
      <c r="Q292" s="204"/>
      <c r="R292" s="27"/>
    </row>
    <row r="293" spans="1:18">
      <c r="A293" s="224"/>
      <c r="B293" s="224" t="s">
        <v>1026</v>
      </c>
      <c r="C293" s="225">
        <v>1142</v>
      </c>
      <c r="D293" s="219" t="str">
        <f>IF(B293="","",IFERROR(INDEX(Vöruskrá!F:F,MATCH(B293,Vöruskrá!B:B,0)),""))</f>
        <v>Þurrkuð og möluð paprika (Capsicum annuum)</v>
      </c>
      <c r="E293" s="219" t="str">
        <f>IF(B293="","",IFERROR(IF(INDEX(Vöruskrá!G:G,MATCH(B293,Vöruskrá!B:B,0))="","Engir skráðir",INDEX(Vöruskrá!G:G,MATCH(B293,Vöruskrá!B:B,0))),"Engir skráðir"))</f>
        <v>Engir skráðir</v>
      </c>
      <c r="F293" s="219" t="str">
        <f>IF(B293="","",IFERROR(INDEX(Vöruskrá!H:H,MATCH(B293,Vöruskrá!B:B,0)),""))</f>
        <v>Framleitt á svæði þar sem unnið er með glúten, fisk, mjólk, soja, sellerí, sinnep og sesam.</v>
      </c>
      <c r="G293" s="220">
        <f>IF(OR(B293="",C293=""),"",IFERROR(INDEX(Vöruskrá!J:J,MATCH(B293,Vöruskrá!B:B,0))*C293/100000,""))</f>
        <v>3.22044</v>
      </c>
      <c r="H293" s="220">
        <f>IF(OR(B293="",C293=""),"",IFERROR(INDEX(Vöruskrá!K:K,MATCH(B293,Vöruskrá!B:B,0))*C293/100000,""))</f>
        <v>0.14846000000000001</v>
      </c>
      <c r="I293" s="220">
        <f>IF(OR(B293="",C293=""),"",IFERROR(INDEX(Vöruskrá!L:L,MATCH(B293,Vöruskrá!B:B,0))*C293/100000,""))</f>
        <v>2.2839999999999999E-2</v>
      </c>
      <c r="J293" s="220">
        <f>IF(OR(B293="",C293=""),"",IFERROR(INDEX(Vöruskrá!M:M,MATCH(B293,Vöruskrá!B:B,0))*C293/100000,""))</f>
        <v>0.61668000000000001</v>
      </c>
      <c r="K293" s="220">
        <f>IF(OR(B293="",C293=""),"",IFERROR(INDEX(Vöruskrá!N:N,MATCH(B293,Vöruskrá!B:B,0))*C293/100000,""))</f>
        <v>0.1142</v>
      </c>
      <c r="L293" s="220">
        <f>IF(OR(B293="",C293=""),"",IFERROR(INDEX(Vöruskrá!O:O,MATCH(B293,Vöruskrá!B:B,0))*C293/100000,""))</f>
        <v>0.15987999999999999</v>
      </c>
      <c r="M293" s="220">
        <f>IF(OR(B293="",C293=""),"",IFERROR(INDEX(Vöruskrá!P:P,MATCH(B293,Vöruskrá!B:B,0))*C293/100000,""))</f>
        <v>1.142E-3</v>
      </c>
      <c r="N293" s="220">
        <f>IF(OR(B293="",C293=""),"",IFERROR(INDEX(Vöruskrá!Q:Q,MATCH(B293,Vöruskrá!B:B,0))*C293/100000,""))</f>
        <v>0.3997</v>
      </c>
      <c r="O293" s="221">
        <f>IF(OR(B293="",C293=""),"",IFERROR(C293/1000*INDEX(Vöruskrá!R:R,MATCH(B293,Vöruskrá!B:B,0))/1000,""))</f>
        <v>0</v>
      </c>
      <c r="P293" s="224"/>
      <c r="Q293" s="205"/>
      <c r="R293" s="6"/>
    </row>
    <row r="294" spans="1:18">
      <c r="A294" s="222"/>
      <c r="B294" s="222" t="s">
        <v>1062</v>
      </c>
      <c r="C294" s="223">
        <v>571</v>
      </c>
      <c r="D294" s="219" t="str">
        <f>IF(B294="","",IFERROR(INDEX(Vöruskrá!F:F,MATCH(B294,Vöruskrá!B:B,0)),""))</f>
        <v>Kúmenfræ 100% (Cuminum cyminum)</v>
      </c>
      <c r="E294" s="219" t="str">
        <f>IF(B294="","",IFERROR(IF(INDEX(Vöruskrá!G:G,MATCH(B294,Vöruskrá!B:B,0))="","Engir skráðir",INDEX(Vöruskrá!G:G,MATCH(B294,Vöruskrá!B:B,0))),"Engir skráðir"))</f>
        <v>Engir skráðir</v>
      </c>
      <c r="F294" s="219" t="str">
        <f>IF(B294="","",IFERROR(INDEX(Vöruskrá!H:H,MATCH(B294,Vöruskrá!B:B,0)),""))</f>
        <v>Framleitt á svæði þar sem unnið er með glúten, fisk, mjólk, soja, sellerí, sinnep og sesam.</v>
      </c>
      <c r="G294" s="220">
        <f>IF(OR(B294="",C294=""),"",IFERROR(INDEX(Vöruskrá!J:J,MATCH(B294,Vöruskrá!B:B,0))*C294/100000,""))</f>
        <v>2.1412499999999999</v>
      </c>
      <c r="H294" s="220">
        <f>IF(OR(B294="",C294=""),"",IFERROR(INDEX(Vöruskrá!K:K,MATCH(B294,Vöruskrá!B:B,0))*C294/100000,""))</f>
        <v>0.127333</v>
      </c>
      <c r="I294" s="220">
        <f>IF(OR(B294="",C294=""),"",IFERROR(INDEX(Vöruskrá!L:L,MATCH(B294,Vöruskrá!B:B,0))*C294/100000,""))</f>
        <v>7.4230000000000008E-3</v>
      </c>
      <c r="J294" s="220">
        <f>IF(OR(B294="",C294=""),"",IFERROR(INDEX(Vöruskrá!M:M,MATCH(B294,Vöruskrá!B:B,0))*C294/100000,""))</f>
        <v>0.252382</v>
      </c>
      <c r="K294" s="220">
        <f>IF(OR(B294="",C294=""),"",IFERROR(INDEX(Vöruskrá!N:N,MATCH(B294,Vöruskrá!B:B,0))*C294/100000,""))</f>
        <v>1.3132999999999999E-2</v>
      </c>
      <c r="L294" s="220">
        <f>IF(OR(B294="",C294=""),"",IFERROR(INDEX(Vöruskrá!O:O,MATCH(B294,Vöruskrá!B:B,0))*C294/100000,""))</f>
        <v>0.10163800000000001</v>
      </c>
      <c r="M294" s="220">
        <f>IF(OR(B294="",C294=""),"",IFERROR(INDEX(Vöruskrá!P:P,MATCH(B294,Vöruskrá!B:B,0))*C294/100000,""))</f>
        <v>1.142E-3</v>
      </c>
      <c r="N294" s="220">
        <f>IF(OR(B294="",C294=""),"",IFERROR(INDEX(Vöruskrá!Q:Q,MATCH(B294,Vöruskrá!B:B,0))*C294/100000,""))</f>
        <v>5.9955000000000001E-2</v>
      </c>
      <c r="O294" s="221">
        <f>IF(OR(B294="",C294=""),"",IFERROR(C294/1000*INDEX(Vöruskrá!R:R,MATCH(B294,Vöruskrá!B:B,0))/1000,""))</f>
        <v>0</v>
      </c>
      <c r="P294" s="222"/>
      <c r="Q294" s="204"/>
      <c r="R294" s="27"/>
    </row>
    <row r="295" spans="1:18">
      <c r="A295" s="224"/>
      <c r="B295" s="224" t="s">
        <v>1017</v>
      </c>
      <c r="C295" s="225">
        <v>1142</v>
      </c>
      <c r="D295" s="219" t="str">
        <f>IF(B295="","",IFERROR(INDEX(Vöruskrá!F:F,MATCH(B295,Vöruskrá!B:B,0)),""))</f>
        <v>Hvítlaukur</v>
      </c>
      <c r="E295" s="219" t="str">
        <f>IF(B295="","",IFERROR(IF(INDEX(Vöruskrá!G:G,MATCH(B295,Vöruskrá!B:B,0))="","Engir skráðir",INDEX(Vöruskrá!G:G,MATCH(B295,Vöruskrá!B:B,0))),"Engir skráðir"))</f>
        <v>Engir skráðir</v>
      </c>
      <c r="F295" s="219">
        <f>IF(B295="","",IFERROR(INDEX(Vöruskrá!H:H,MATCH(B295,Vöruskrá!B:B,0)),""))</f>
        <v>0</v>
      </c>
      <c r="G295" s="220">
        <f>IF(OR(B295="",C295=""),"",IFERROR(INDEX(Vöruskrá!J:J,MATCH(B295,Vöruskrá!B:B,0))*C295/100000,""))</f>
        <v>1.7015800000000001</v>
      </c>
      <c r="H295" s="220">
        <f>IF(OR(B295="",C295=""),"",IFERROR(INDEX(Vöruskrá!K:K,MATCH(B295,Vöruskrá!B:B,0))*C295/100000,""))</f>
        <v>5.7099999999999998E-3</v>
      </c>
      <c r="I295" s="220">
        <f>IF(OR(B295="",C295=""),"",IFERROR(INDEX(Vöruskrá!L:L,MATCH(B295,Vöruskrá!B:B,0))*C295/100000,""))</f>
        <v>1.142E-3</v>
      </c>
      <c r="J295" s="220">
        <f>IF(OR(B295="",C295=""),"",IFERROR(INDEX(Vöruskrá!M:M,MATCH(B295,Vöruskrá!B:B,0))*C295/100000,""))</f>
        <v>0.37800200000000006</v>
      </c>
      <c r="K295" s="220">
        <f>IF(OR(B295="",C295=""),"",IFERROR(INDEX(Vöruskrá!N:N,MATCH(B295,Vöruskrá!B:B,0))*C295/100000,""))</f>
        <v>1.142E-2</v>
      </c>
      <c r="L295" s="220">
        <f>IF(OR(B295="",C295=""),"",IFERROR(INDEX(Vöruskrá!O:O,MATCH(B295,Vöruskrá!B:B,0))*C295/100000,""))</f>
        <v>7.3088E-2</v>
      </c>
      <c r="M295" s="220">
        <f>IF(OR(B295="",C295=""),"",IFERROR(INDEX(Vöruskrá!P:P,MATCH(B295,Vöruskrá!B:B,0))*C295/100000,""))</f>
        <v>0</v>
      </c>
      <c r="N295" s="220">
        <f>IF(OR(B295="",C295=""),"",IFERROR(INDEX(Vöruskrá!Q:Q,MATCH(B295,Vöruskrá!B:B,0))*C295/100000,""))</f>
        <v>2.3982000000000003E-2</v>
      </c>
      <c r="O295" s="221">
        <f>IF(OR(B295="",C295=""),"",IFERROR(C295/1000*INDEX(Vöruskrá!R:R,MATCH(B295,Vöruskrá!B:B,0))/1000,""))</f>
        <v>0</v>
      </c>
      <c r="P295" s="224"/>
      <c r="Q295" s="205"/>
      <c r="R295" s="6"/>
    </row>
    <row r="296" spans="1:18">
      <c r="A296" s="222"/>
      <c r="B296" s="222" t="s">
        <v>3642</v>
      </c>
      <c r="C296" s="223">
        <v>3425</v>
      </c>
      <c r="D296" s="219">
        <f>IF(B296="","",IFERROR(INDEX(Vöruskrá!F:F,MATCH(B296,Vöruskrá!B:B,0)),""))</f>
        <v>0</v>
      </c>
      <c r="E296" s="219" t="str">
        <f>IF(B296="","",IFERROR(IF(INDEX(Vöruskrá!G:G,MATCH(B296,Vöruskrá!B:B,0))="","Engir skráðir",INDEX(Vöruskrá!G:G,MATCH(B296,Vöruskrá!B:B,0))),"Engir skráðir"))</f>
        <v>Engir skráðir</v>
      </c>
      <c r="F296" s="219">
        <f>IF(B296="","",IFERROR(INDEX(Vöruskrá!H:H,MATCH(B296,Vöruskrá!B:B,0)),""))</f>
        <v>0</v>
      </c>
      <c r="G296" s="220">
        <f>IF(OR(B296="",C296=""),"",IFERROR(INDEX(Vöruskrá!J:J,MATCH(B296,Vöruskrá!B:B,0))*C296/100000,""))</f>
        <v>0</v>
      </c>
      <c r="H296" s="220">
        <f>IF(OR(B296="",C296=""),"",IFERROR(INDEX(Vöruskrá!K:K,MATCH(B296,Vöruskrá!B:B,0))*C296/100000,""))</f>
        <v>0</v>
      </c>
      <c r="I296" s="220">
        <f>IF(OR(B296="",C296=""),"",IFERROR(INDEX(Vöruskrá!L:L,MATCH(B296,Vöruskrá!B:B,0))*C296/100000,""))</f>
        <v>0</v>
      </c>
      <c r="J296" s="220">
        <f>IF(OR(B296="",C296=""),"",IFERROR(INDEX(Vöruskrá!M:M,MATCH(B296,Vöruskrá!B:B,0))*C296/100000,""))</f>
        <v>0</v>
      </c>
      <c r="K296" s="220">
        <f>IF(OR(B296="",C296=""),"",IFERROR(INDEX(Vöruskrá!N:N,MATCH(B296,Vöruskrá!B:B,0))*C296/100000,""))</f>
        <v>0</v>
      </c>
      <c r="L296" s="220">
        <f>IF(OR(B296="",C296=""),"",IFERROR(INDEX(Vöruskrá!O:O,MATCH(B296,Vöruskrá!B:B,0))*C296/100000,""))</f>
        <v>0</v>
      </c>
      <c r="M296" s="220">
        <f>IF(OR(B296="",C296=""),"",IFERROR(INDEX(Vöruskrá!P:P,MATCH(B296,Vöruskrá!B:B,0))*C296/100000,""))</f>
        <v>0</v>
      </c>
      <c r="N296" s="220">
        <f>IF(OR(B296="",C296=""),"",IFERROR(INDEX(Vöruskrá!Q:Q,MATCH(B296,Vöruskrá!B:B,0))*C296/100000,""))</f>
        <v>0</v>
      </c>
      <c r="O296" s="221">
        <f>IF(OR(B296="",C296=""),"",IFERROR(C296/1000*INDEX(Vöruskrá!R:R,MATCH(B296,Vöruskrá!B:B,0))/1000,""))</f>
        <v>0</v>
      </c>
      <c r="P296" s="222"/>
      <c r="Q296" s="204"/>
      <c r="R296" s="27"/>
    </row>
    <row r="297" spans="1:18">
      <c r="A297" s="224"/>
      <c r="B297" s="224" t="s">
        <v>833</v>
      </c>
      <c r="C297" s="225">
        <v>1142</v>
      </c>
      <c r="D297" s="219" t="str">
        <f>IF(B297="","",IFERROR(INDEX(Vöruskrá!F:F,MATCH(B297,Vöruskrá!B:B,0)),""))</f>
        <v>Þykktur sítrónusafi, vatn.</v>
      </c>
      <c r="E297" s="219" t="str">
        <f>IF(B297="","",IFERROR(IF(INDEX(Vöruskrá!G:G,MATCH(B297,Vöruskrá!B:B,0))="","Engir skráðir",INDEX(Vöruskrá!G:G,MATCH(B297,Vöruskrá!B:B,0))),"Engir skráðir"))</f>
        <v>Engir skráðir</v>
      </c>
      <c r="F297" s="219">
        <f>IF(B297="","",IFERROR(INDEX(Vöruskrá!H:H,MATCH(B297,Vöruskrá!B:B,0)),""))</f>
        <v>0</v>
      </c>
      <c r="G297" s="220">
        <f>IF(OR(B297="",C297=""),"",IFERROR(INDEX(Vöruskrá!J:J,MATCH(B297,Vöruskrá!B:B,0))*C297/100000,""))</f>
        <v>0.35402</v>
      </c>
      <c r="H297" s="220">
        <f>IF(OR(B297="",C297=""),"",IFERROR(INDEX(Vöruskrá!K:K,MATCH(B297,Vöruskrá!B:B,0))*C297/100000,""))</f>
        <v>2.284E-3</v>
      </c>
      <c r="I297" s="220">
        <f>IF(OR(B297="",C297=""),"",IFERROR(INDEX(Vöruskrá!L:L,MATCH(B297,Vöruskrá!B:B,0))*C297/100000,""))</f>
        <v>0</v>
      </c>
      <c r="J297" s="220">
        <f>IF(OR(B297="",C297=""),"",IFERROR(INDEX(Vöruskrá!M:M,MATCH(B297,Vöruskrá!B:B,0))*C297/100000,""))</f>
        <v>7.8798000000000007E-2</v>
      </c>
      <c r="K297" s="220">
        <f>IF(OR(B297="",C297=""),"",IFERROR(INDEX(Vöruskrá!N:N,MATCH(B297,Vöruskrá!B:B,0))*C297/100000,""))</f>
        <v>2.7407999999999998E-2</v>
      </c>
      <c r="L297" s="220">
        <f>IF(OR(B297="",C297=""),"",IFERROR(INDEX(Vöruskrá!O:O,MATCH(B297,Vöruskrá!B:B,0))*C297/100000,""))</f>
        <v>0</v>
      </c>
      <c r="M297" s="220">
        <f>IF(OR(B297="",C297=""),"",IFERROR(INDEX(Vöruskrá!P:P,MATCH(B297,Vöruskrá!B:B,0))*C297/100000,""))</f>
        <v>0</v>
      </c>
      <c r="N297" s="220">
        <f>IF(OR(B297="",C297=""),"",IFERROR(INDEX(Vöruskrá!Q:Q,MATCH(B297,Vöruskrá!B:B,0))*C297/100000,""))</f>
        <v>0</v>
      </c>
      <c r="O297" s="221">
        <f>IF(OR(B297="",C297=""),"",IFERROR(C297/1000*INDEX(Vöruskrá!R:R,MATCH(B297,Vöruskrá!B:B,0))/1000,""))</f>
        <v>0</v>
      </c>
      <c r="P297" s="224"/>
      <c r="Q297" s="205"/>
      <c r="R297" s="6"/>
    </row>
    <row r="298" spans="1:18">
      <c r="A298" s="222"/>
      <c r="B298" s="222" t="s">
        <v>299</v>
      </c>
      <c r="C298" s="223">
        <v>913</v>
      </c>
      <c r="D298" s="219" t="str">
        <f>IF(B298="","",IFERROR(INDEX(Vöruskrá!F:F,MATCH(B298,Vöruskrá!B:B,0)),""))</f>
        <v>Salt (salt, kekkjavarnarefni E535, lyftiefni E500).</v>
      </c>
      <c r="E298" s="219" t="str">
        <f>IF(B298="","",IFERROR(IF(INDEX(Vöruskrá!G:G,MATCH(B298,Vöruskrá!B:B,0))="","Engir skráðir",INDEX(Vöruskrá!G:G,MATCH(B298,Vöruskrá!B:B,0))),"Engir skráðir"))</f>
        <v>Engir skráðir</v>
      </c>
      <c r="F298" s="219" t="str">
        <f>IF(B298="","",IFERROR(INDEX(Vöruskrá!H:H,MATCH(B298,Vöruskrá!B:B,0)),""))</f>
        <v>Framleitt á svæði þar sem unnið er með mjólk, glúten, egg, sesam, sellerí, soja og sinnep.</v>
      </c>
      <c r="G298" s="220">
        <f>IF(OR(B298="",C298=""),"",IFERROR(INDEX(Vöruskrá!J:J,MATCH(B298,Vöruskrá!B:B,0))*C298/100000,""))</f>
        <v>0</v>
      </c>
      <c r="H298" s="220">
        <f>IF(OR(B298="",C298=""),"",IFERROR(INDEX(Vöruskrá!K:K,MATCH(B298,Vöruskrá!B:B,0))*C298/100000,""))</f>
        <v>0</v>
      </c>
      <c r="I298" s="220">
        <f>IF(OR(B298="",C298=""),"",IFERROR(INDEX(Vöruskrá!L:L,MATCH(B298,Vöruskrá!B:B,0))*C298/100000,""))</f>
        <v>0</v>
      </c>
      <c r="J298" s="220">
        <f>IF(OR(B298="",C298=""),"",IFERROR(INDEX(Vöruskrá!M:M,MATCH(B298,Vöruskrá!B:B,0))*C298/100000,""))</f>
        <v>0</v>
      </c>
      <c r="K298" s="220">
        <f>IF(OR(B298="",C298=""),"",IFERROR(INDEX(Vöruskrá!N:N,MATCH(B298,Vöruskrá!B:B,0))*C298/100000,""))</f>
        <v>0</v>
      </c>
      <c r="L298" s="220">
        <f>IF(OR(B298="",C298=""),"",IFERROR(INDEX(Vöruskrá!O:O,MATCH(B298,Vöruskrá!B:B,0))*C298/100000,""))</f>
        <v>0</v>
      </c>
      <c r="M298" s="220">
        <f>IF(OR(B298="",C298=""),"",IFERROR(INDEX(Vöruskrá!P:P,MATCH(B298,Vöruskrá!B:B,0))*C298/100000,""))</f>
        <v>0.91300000000000003</v>
      </c>
      <c r="N298" s="220">
        <f>IF(OR(B298="",C298=""),"",IFERROR(INDEX(Vöruskrá!Q:Q,MATCH(B298,Vöruskrá!B:B,0))*C298/100000,""))</f>
        <v>0</v>
      </c>
      <c r="O298" s="221">
        <f>IF(OR(B298="",C298=""),"",IFERROR(C298/1000*INDEX(Vöruskrá!R:R,MATCH(B298,Vöruskrá!B:B,0))/1000,""))</f>
        <v>0</v>
      </c>
      <c r="P298" s="222"/>
      <c r="Q298" s="204"/>
      <c r="R298" s="27"/>
    </row>
    <row r="299" spans="1:18">
      <c r="A299" s="224"/>
      <c r="B299" s="224" t="s">
        <v>819</v>
      </c>
      <c r="C299" s="225">
        <v>342</v>
      </c>
      <c r="D299" s="219" t="str">
        <f>IF(B299="","",IFERROR(INDEX(Vöruskrá!F:F,MATCH(B299,Vöruskrá!B:B,0)),""))</f>
        <v>Svartur pipar 100% (Piper nigrum), hitaþurrkað.</v>
      </c>
      <c r="E299" s="219" t="str">
        <f>IF(B299="","",IFERROR(IF(INDEX(Vöruskrá!G:G,MATCH(B299,Vöruskrá!B:B,0))="","Engir skráðir",INDEX(Vöruskrá!G:G,MATCH(B299,Vöruskrá!B:B,0))),"Engir skráðir"))</f>
        <v>Engir skráðir</v>
      </c>
      <c r="F299" s="219" t="str">
        <f>IF(B299="","",IFERROR(INDEX(Vöruskrá!H:H,MATCH(B299,Vöruskrá!B:B,0)),""))</f>
        <v>Framleitt á svæði þar sem unnið er með glúten, fisk, krabbadýr, lindýr, mjólk, soja, sellerí, sinnep og sesam.</v>
      </c>
      <c r="G299" s="220">
        <f>IF(OR(B299="",C299=""),"",IFERROR(INDEX(Vöruskrá!J:J,MATCH(B299,Vöruskrá!B:B,0))*C299/100000,""))</f>
        <v>1.32012</v>
      </c>
      <c r="H299" s="220">
        <f>IF(OR(B299="",C299=""),"",IFERROR(INDEX(Vöruskrá!K:K,MATCH(B299,Vöruskrá!B:B,0))*C299/100000,""))</f>
        <v>1.1285999999999999E-2</v>
      </c>
      <c r="I299" s="220">
        <f>IF(OR(B299="",C299=""),"",IFERROR(INDEX(Vöruskrá!L:L,MATCH(B299,Vöruskrá!B:B,0))*C299/100000,""))</f>
        <v>3.4199999999999999E-3</v>
      </c>
      <c r="J299" s="220">
        <f>IF(OR(B299="",C299=""),"",IFERROR(INDEX(Vöruskrá!M:M,MATCH(B299,Vöruskrá!B:B,0))*C299/100000,""))</f>
        <v>0.2223</v>
      </c>
      <c r="K299" s="220">
        <f>IF(OR(B299="",C299=""),"",IFERROR(INDEX(Vöruskrá!N:N,MATCH(B299,Vöruskrá!B:B,0))*C299/100000,""))</f>
        <v>2.052E-3</v>
      </c>
      <c r="L299" s="220">
        <f>IF(OR(B299="",C299=""),"",IFERROR(INDEX(Vöruskrá!O:O,MATCH(B299,Vöruskrá!B:B,0))*C299/100000,""))</f>
        <v>3.7620000000000001E-2</v>
      </c>
      <c r="M299" s="220">
        <f>IF(OR(B299="",C299=""),"",IFERROR(INDEX(Vöruskrá!P:P,MATCH(B299,Vöruskrá!B:B,0))*C299/100000,""))</f>
        <v>3.4200000000000002E-4</v>
      </c>
      <c r="N299" s="220">
        <f>IF(OR(B299="",C299=""),"",IFERROR(INDEX(Vöruskrá!Q:Q,MATCH(B299,Vöruskrá!B:B,0))*C299/100000,""))</f>
        <v>0</v>
      </c>
      <c r="O299" s="221">
        <f>IF(OR(B299="",C299=""),"",IFERROR(C299/1000*INDEX(Vöruskrá!R:R,MATCH(B299,Vöruskrá!B:B,0))/1000,""))</f>
        <v>0</v>
      </c>
      <c r="P299" s="224"/>
      <c r="Q299" s="205"/>
      <c r="R299" s="6"/>
    </row>
    <row r="300" spans="1:18" ht="26">
      <c r="A300" s="176" t="s">
        <v>3703</v>
      </c>
      <c r="B300" s="176"/>
      <c r="C300" s="177"/>
      <c r="D300" s="216" t="str">
        <f>_xlfn.TEXTJOIN(" | ",TRUE,D301:D307)</f>
        <v>Ýsa | Þurrkuð og möluð paprika (Capsicum annuum) | Hvítlaukur | 0 | Salt (salt, kekkjavarnarefni E535, lyftiefni E500). | Svartur pipar 100% (Piper nigrum), hitaþurrkað. | Þykktur sítrónusafi, vatn.</v>
      </c>
      <c r="E300" s="216" t="str" cm="1">
        <f t="array" ref="E300">IFERROR(_xlfn.TEXTJOIN(", ",TRUE,_xlfn.UNIQUE(_xlfn._xlws.FILTER(E301:E307,(E301:E307&lt;&gt;"Engir skráðir")*(E301:E307&lt;&gt;"")))),"Engir skráðir")</f>
        <v>Fiskur</v>
      </c>
      <c r="F300" s="216"/>
      <c r="G300" s="217">
        <f>IFERROR(SUM(G301:G307)/(SUM($C$301:$C$307)/100000),"")</f>
        <v>99.202322023220248</v>
      </c>
      <c r="H300" s="217">
        <f>IFERROR(SUM(H301:H307)/(SUM($C$301:$C$307)/100000),"")</f>
        <v>0.87923279232792328</v>
      </c>
      <c r="I300" s="217">
        <f>IFERROR(SUM(I301:I307)/(SUM($C$301:$C$307)/100000),"")</f>
        <v>0.12945429454294541</v>
      </c>
      <c r="J300" s="217">
        <f>IFERROR(SUM(J301:J307)/(SUM($C$301:$C$307)/100000),"")</f>
        <v>1.6010910109101089</v>
      </c>
      <c r="K300" s="217">
        <f>IFERROR(SUM(K301:K307)/(SUM($C$301:$C$307)/100000),"")</f>
        <v>0.23634836348363483</v>
      </c>
      <c r="L300" s="217">
        <f>IFERROR(SUM(L301:L307)/(SUM($C$301:$C$307)/100000),"")</f>
        <v>21.267792677926781</v>
      </c>
      <c r="M300" s="217">
        <f>IFERROR(SUM(M301:M307)/(SUM($C$301:$C$307)/100000),"")</f>
        <v>1.1850978509785095</v>
      </c>
      <c r="N300" s="217">
        <f>IFERROR(SUM(N301:N307)/(SUM($C$301:$C$307)/100000),"")</f>
        <v>0.61621616216162156</v>
      </c>
      <c r="O300" s="218" t="str">
        <f>IF(OR(B300="",C300=""),"",IFERROR(C300/1000*INDEX(Vöruskrá!R:R,MATCH(B300,Vöruskrá!B:B,0))/1000,""))</f>
        <v/>
      </c>
      <c r="P300" s="176" t="s">
        <v>3698</v>
      </c>
      <c r="Q300" s="204"/>
      <c r="R300" s="27"/>
    </row>
    <row r="301" spans="1:18">
      <c r="A301" s="222"/>
      <c r="B301" s="222" t="s">
        <v>926</v>
      </c>
      <c r="C301" s="223">
        <v>91013</v>
      </c>
      <c r="D301" s="219" t="str">
        <f>IF(B301="","",IFERROR(INDEX(Vöruskrá!F:F,MATCH(B301,Vöruskrá!B:B,0)),""))</f>
        <v>Ýsa</v>
      </c>
      <c r="E301" s="219" t="str">
        <f>IF(B301="","",IFERROR(IF(INDEX(Vöruskrá!G:G,MATCH(B301,Vöruskrá!B:B,0))="","Engir skráðir",INDEX(Vöruskrá!G:G,MATCH(B301,Vöruskrá!B:B,0))),"Engir skráðir"))</f>
        <v>Fiskur</v>
      </c>
      <c r="F301" s="219">
        <f>IF(B301="","",IFERROR(INDEX(Vöruskrá!H:H,MATCH(B301,Vöruskrá!B:B,0)),""))</f>
        <v>0</v>
      </c>
      <c r="G301" s="220">
        <f>IF(OR(B301="",C301=""),"",IFERROR(INDEX(Vöruskrá!J:J,MATCH(B301,Vöruskrá!B:B,0))*C301/100000,""))</f>
        <v>91.013000000000005</v>
      </c>
      <c r="H301" s="220">
        <f>IF(OR(B301="",C301=""),"",IFERROR(INDEX(Vöruskrá!K:K,MATCH(B301,Vöruskrá!B:B,0))*C301/100000,""))</f>
        <v>0.63709099999999996</v>
      </c>
      <c r="I301" s="220">
        <f>IF(OR(B301="",C301=""),"",IFERROR(INDEX(Vöruskrá!L:L,MATCH(B301,Vöruskrá!B:B,0))*C301/100000,""))</f>
        <v>9.1013000000000011E-2</v>
      </c>
      <c r="J301" s="220">
        <f>IF(OR(B301="",C301=""),"",IFERROR(INDEX(Vöruskrá!M:M,MATCH(B301,Vöruskrá!B:B,0))*C301/100000,""))</f>
        <v>0</v>
      </c>
      <c r="K301" s="220">
        <f>IF(OR(B301="",C301=""),"",IFERROR(INDEX(Vöruskrá!N:N,MATCH(B301,Vöruskrá!B:B,0))*C301/100000,""))</f>
        <v>0</v>
      </c>
      <c r="L301" s="220">
        <f>IF(OR(B301="",C301=""),"",IFERROR(INDEX(Vöruskrá!O:O,MATCH(B301,Vöruskrá!B:B,0))*C301/100000,""))</f>
        <v>20.93299</v>
      </c>
      <c r="M301" s="220">
        <f>IF(OR(B301="",C301=""),"",IFERROR(INDEX(Vöruskrá!P:P,MATCH(B301,Vöruskrá!B:B,0))*C301/100000,""))</f>
        <v>0.27303899999999998</v>
      </c>
      <c r="N301" s="220">
        <f>IF(OR(B301="",C301=""),"",IFERROR(INDEX(Vöruskrá!Q:Q,MATCH(B301,Vöruskrá!B:B,0))*C301/100000,""))</f>
        <v>0</v>
      </c>
      <c r="O301" s="221">
        <f>IF(OR(B301="",C301=""),"",IFERROR(C301/1000*INDEX(Vöruskrá!R:R,MATCH(B301,Vöruskrá!B:B,0))/1000,""))</f>
        <v>0</v>
      </c>
      <c r="P301" s="222"/>
      <c r="Q301" s="205"/>
      <c r="R301" s="6"/>
    </row>
    <row r="302" spans="1:18">
      <c r="A302" s="224"/>
      <c r="B302" s="224" t="s">
        <v>1026</v>
      </c>
      <c r="C302" s="225">
        <v>1706</v>
      </c>
      <c r="D302" s="219" t="str">
        <f>IF(B302="","",IFERROR(INDEX(Vöruskrá!F:F,MATCH(B302,Vöruskrá!B:B,0)),""))</f>
        <v>Þurrkuð og möluð paprika (Capsicum annuum)</v>
      </c>
      <c r="E302" s="219" t="str">
        <f>IF(B302="","",IFERROR(IF(INDEX(Vöruskrá!G:G,MATCH(B302,Vöruskrá!B:B,0))="","Engir skráðir",INDEX(Vöruskrá!G:G,MATCH(B302,Vöruskrá!B:B,0))),"Engir skráðir"))</f>
        <v>Engir skráðir</v>
      </c>
      <c r="F302" s="219" t="str">
        <f>IF(B302="","",IFERROR(INDEX(Vöruskrá!H:H,MATCH(B302,Vöruskrá!B:B,0)),""))</f>
        <v>Framleitt á svæði þar sem unnið er með glúten, fisk, mjólk, soja, sellerí, sinnep og sesam.</v>
      </c>
      <c r="G302" s="220">
        <f>IF(OR(B302="",C302=""),"",IFERROR(INDEX(Vöruskrá!J:J,MATCH(B302,Vöruskrá!B:B,0))*C302/100000,""))</f>
        <v>4.8109200000000003</v>
      </c>
      <c r="H302" s="220">
        <f>IF(OR(B302="",C302=""),"",IFERROR(INDEX(Vöruskrá!K:K,MATCH(B302,Vöruskrá!B:B,0))*C302/100000,""))</f>
        <v>0.22178</v>
      </c>
      <c r="I302" s="220">
        <f>IF(OR(B302="",C302=""),"",IFERROR(INDEX(Vöruskrá!L:L,MATCH(B302,Vöruskrá!B:B,0))*C302/100000,""))</f>
        <v>3.4119999999999998E-2</v>
      </c>
      <c r="J302" s="220">
        <f>IF(OR(B302="",C302=""),"",IFERROR(INDEX(Vöruskrá!M:M,MATCH(B302,Vöruskrá!B:B,0))*C302/100000,""))</f>
        <v>0.92123999999999995</v>
      </c>
      <c r="K302" s="220">
        <f>IF(OR(B302="",C302=""),"",IFERROR(INDEX(Vöruskrá!N:N,MATCH(B302,Vöruskrá!B:B,0))*C302/100000,""))</f>
        <v>0.1706</v>
      </c>
      <c r="L302" s="220">
        <f>IF(OR(B302="",C302=""),"",IFERROR(INDEX(Vöruskrá!O:O,MATCH(B302,Vöruskrá!B:B,0))*C302/100000,""))</f>
        <v>0.23884</v>
      </c>
      <c r="M302" s="220">
        <f>IF(OR(B302="",C302=""),"",IFERROR(INDEX(Vöruskrá!P:P,MATCH(B302,Vöruskrá!B:B,0))*C302/100000,""))</f>
        <v>1.7060000000000003E-3</v>
      </c>
      <c r="N302" s="220">
        <f>IF(OR(B302="",C302=""),"",IFERROR(INDEX(Vöruskrá!Q:Q,MATCH(B302,Vöruskrá!B:B,0))*C302/100000,""))</f>
        <v>0.59709999999999996</v>
      </c>
      <c r="O302" s="221">
        <f>IF(OR(B302="",C302=""),"",IFERROR(C302/1000*INDEX(Vöruskrá!R:R,MATCH(B302,Vöruskrá!B:B,0))/1000,""))</f>
        <v>0</v>
      </c>
      <c r="P302" s="224"/>
      <c r="Q302" s="204"/>
      <c r="R302" s="27"/>
    </row>
    <row r="303" spans="1:18">
      <c r="A303" s="222"/>
      <c r="B303" s="222" t="s">
        <v>1017</v>
      </c>
      <c r="C303" s="223">
        <v>910</v>
      </c>
      <c r="D303" s="219" t="str">
        <f>IF(B303="","",IFERROR(INDEX(Vöruskrá!F:F,MATCH(B303,Vöruskrá!B:B,0)),""))</f>
        <v>Hvítlaukur</v>
      </c>
      <c r="E303" s="219" t="str">
        <f>IF(B303="","",IFERROR(IF(INDEX(Vöruskrá!G:G,MATCH(B303,Vöruskrá!B:B,0))="","Engir skráðir",INDEX(Vöruskrá!G:G,MATCH(B303,Vöruskrá!B:B,0))),"Engir skráðir"))</f>
        <v>Engir skráðir</v>
      </c>
      <c r="F303" s="219">
        <f>IF(B303="","",IFERROR(INDEX(Vöruskrá!H:H,MATCH(B303,Vöruskrá!B:B,0)),""))</f>
        <v>0</v>
      </c>
      <c r="G303" s="220">
        <f>IF(OR(B303="",C303=""),"",IFERROR(INDEX(Vöruskrá!J:J,MATCH(B303,Vöruskrá!B:B,0))*C303/100000,""))</f>
        <v>1.3559000000000001</v>
      </c>
      <c r="H303" s="220">
        <f>IF(OR(B303="",C303=""),"",IFERROR(INDEX(Vöruskrá!K:K,MATCH(B303,Vöruskrá!B:B,0))*C303/100000,""))</f>
        <v>4.5500000000000002E-3</v>
      </c>
      <c r="I303" s="220">
        <f>IF(OR(B303="",C303=""),"",IFERROR(INDEX(Vöruskrá!L:L,MATCH(B303,Vöruskrá!B:B,0))*C303/100000,""))</f>
        <v>9.1E-4</v>
      </c>
      <c r="J303" s="220">
        <f>IF(OR(B303="",C303=""),"",IFERROR(INDEX(Vöruskrá!M:M,MATCH(B303,Vöruskrá!B:B,0))*C303/100000,""))</f>
        <v>0.30120999999999998</v>
      </c>
      <c r="K303" s="220">
        <f>IF(OR(B303="",C303=""),"",IFERROR(INDEX(Vöruskrá!N:N,MATCH(B303,Vöruskrá!B:B,0))*C303/100000,""))</f>
        <v>9.1000000000000004E-3</v>
      </c>
      <c r="L303" s="220">
        <f>IF(OR(B303="",C303=""),"",IFERROR(INDEX(Vöruskrá!O:O,MATCH(B303,Vöruskrá!B:B,0))*C303/100000,""))</f>
        <v>5.824E-2</v>
      </c>
      <c r="M303" s="220">
        <f>IF(OR(B303="",C303=""),"",IFERROR(INDEX(Vöruskrá!P:P,MATCH(B303,Vöruskrá!B:B,0))*C303/100000,""))</f>
        <v>0</v>
      </c>
      <c r="N303" s="220">
        <f>IF(OR(B303="",C303=""),"",IFERROR(INDEX(Vöruskrá!Q:Q,MATCH(B303,Vöruskrá!B:B,0))*C303/100000,""))</f>
        <v>1.9109999999999999E-2</v>
      </c>
      <c r="O303" s="221">
        <f>IF(OR(B303="",C303=""),"",IFERROR(C303/1000*INDEX(Vöruskrá!R:R,MATCH(B303,Vöruskrá!B:B,0))/1000,""))</f>
        <v>0</v>
      </c>
      <c r="P303" s="222"/>
      <c r="Q303" s="205"/>
      <c r="R303" s="6"/>
    </row>
    <row r="304" spans="1:18">
      <c r="A304" s="224"/>
      <c r="B304" s="224" t="s">
        <v>3642</v>
      </c>
      <c r="C304" s="225">
        <v>2844</v>
      </c>
      <c r="D304" s="219">
        <f>IF(B304="","",IFERROR(INDEX(Vöruskrá!F:F,MATCH(B304,Vöruskrá!B:B,0)),""))</f>
        <v>0</v>
      </c>
      <c r="E304" s="219" t="str">
        <f>IF(B304="","",IFERROR(IF(INDEX(Vöruskrá!G:G,MATCH(B304,Vöruskrá!B:B,0))="","Engir skráðir",INDEX(Vöruskrá!G:G,MATCH(B304,Vöruskrá!B:B,0))),"Engir skráðir"))</f>
        <v>Engir skráðir</v>
      </c>
      <c r="F304" s="219">
        <f>IF(B304="","",IFERROR(INDEX(Vöruskrá!H:H,MATCH(B304,Vöruskrá!B:B,0)),""))</f>
        <v>0</v>
      </c>
      <c r="G304" s="220">
        <f>IF(OR(B304="",C304=""),"",IFERROR(INDEX(Vöruskrá!J:J,MATCH(B304,Vöruskrá!B:B,0))*C304/100000,""))</f>
        <v>0</v>
      </c>
      <c r="H304" s="220">
        <f>IF(OR(B304="",C304=""),"",IFERROR(INDEX(Vöruskrá!K:K,MATCH(B304,Vöruskrá!B:B,0))*C304/100000,""))</f>
        <v>0</v>
      </c>
      <c r="I304" s="220">
        <f>IF(OR(B304="",C304=""),"",IFERROR(INDEX(Vöruskrá!L:L,MATCH(B304,Vöruskrá!B:B,0))*C304/100000,""))</f>
        <v>0</v>
      </c>
      <c r="J304" s="220">
        <f>IF(OR(B304="",C304=""),"",IFERROR(INDEX(Vöruskrá!M:M,MATCH(B304,Vöruskrá!B:B,0))*C304/100000,""))</f>
        <v>0</v>
      </c>
      <c r="K304" s="220">
        <f>IF(OR(B304="",C304=""),"",IFERROR(INDEX(Vöruskrá!N:N,MATCH(B304,Vöruskrá!B:B,0))*C304/100000,""))</f>
        <v>0</v>
      </c>
      <c r="L304" s="220">
        <f>IF(OR(B304="",C304=""),"",IFERROR(INDEX(Vöruskrá!O:O,MATCH(B304,Vöruskrá!B:B,0))*C304/100000,""))</f>
        <v>0</v>
      </c>
      <c r="M304" s="220">
        <f>IF(OR(B304="",C304=""),"",IFERROR(INDEX(Vöruskrá!P:P,MATCH(B304,Vöruskrá!B:B,0))*C304/100000,""))</f>
        <v>0</v>
      </c>
      <c r="N304" s="220">
        <f>IF(OR(B304="",C304=""),"",IFERROR(INDEX(Vöruskrá!Q:Q,MATCH(B304,Vöruskrá!B:B,0))*C304/100000,""))</f>
        <v>0</v>
      </c>
      <c r="O304" s="221">
        <f>IF(OR(B304="",C304=""),"",IFERROR(C304/1000*INDEX(Vöruskrá!R:R,MATCH(B304,Vöruskrá!B:B,0))/1000,""))</f>
        <v>0</v>
      </c>
      <c r="P304" s="224"/>
      <c r="Q304" s="204"/>
      <c r="R304" s="27"/>
    </row>
    <row r="305" spans="1:18">
      <c r="A305" s="222"/>
      <c r="B305" s="222" t="s">
        <v>299</v>
      </c>
      <c r="C305" s="223">
        <v>910</v>
      </c>
      <c r="D305" s="219" t="str">
        <f>IF(B305="","",IFERROR(INDEX(Vöruskrá!F:F,MATCH(B305,Vöruskrá!B:B,0)),""))</f>
        <v>Salt (salt, kekkjavarnarefni E535, lyftiefni E500).</v>
      </c>
      <c r="E305" s="219" t="str">
        <f>IF(B305="","",IFERROR(IF(INDEX(Vöruskrá!G:G,MATCH(B305,Vöruskrá!B:B,0))="","Engir skráðir",INDEX(Vöruskrá!G:G,MATCH(B305,Vöruskrá!B:B,0))),"Engir skráðir"))</f>
        <v>Engir skráðir</v>
      </c>
      <c r="F305" s="219" t="str">
        <f>IF(B305="","",IFERROR(INDEX(Vöruskrá!H:H,MATCH(B305,Vöruskrá!B:B,0)),""))</f>
        <v>Framleitt á svæði þar sem unnið er með mjólk, glúten, egg, sesam, sellerí, soja og sinnep.</v>
      </c>
      <c r="G305" s="220">
        <f>IF(OR(B305="",C305=""),"",IFERROR(INDEX(Vöruskrá!J:J,MATCH(B305,Vöruskrá!B:B,0))*C305/100000,""))</f>
        <v>0</v>
      </c>
      <c r="H305" s="220">
        <f>IF(OR(B305="",C305=""),"",IFERROR(INDEX(Vöruskrá!K:K,MATCH(B305,Vöruskrá!B:B,0))*C305/100000,""))</f>
        <v>0</v>
      </c>
      <c r="I305" s="220">
        <f>IF(OR(B305="",C305=""),"",IFERROR(INDEX(Vöruskrá!L:L,MATCH(B305,Vöruskrá!B:B,0))*C305/100000,""))</f>
        <v>0</v>
      </c>
      <c r="J305" s="220">
        <f>IF(OR(B305="",C305=""),"",IFERROR(INDEX(Vöruskrá!M:M,MATCH(B305,Vöruskrá!B:B,0))*C305/100000,""))</f>
        <v>0</v>
      </c>
      <c r="K305" s="220">
        <f>IF(OR(B305="",C305=""),"",IFERROR(INDEX(Vöruskrá!N:N,MATCH(B305,Vöruskrá!B:B,0))*C305/100000,""))</f>
        <v>0</v>
      </c>
      <c r="L305" s="220">
        <f>IF(OR(B305="",C305=""),"",IFERROR(INDEX(Vöruskrá!O:O,MATCH(B305,Vöruskrá!B:B,0))*C305/100000,""))</f>
        <v>0</v>
      </c>
      <c r="M305" s="220">
        <f>IF(OR(B305="",C305=""),"",IFERROR(INDEX(Vöruskrá!P:P,MATCH(B305,Vöruskrá!B:B,0))*C305/100000,""))</f>
        <v>0.91</v>
      </c>
      <c r="N305" s="220">
        <f>IF(OR(B305="",C305=""),"",IFERROR(INDEX(Vöruskrá!Q:Q,MATCH(B305,Vöruskrá!B:B,0))*C305/100000,""))</f>
        <v>0</v>
      </c>
      <c r="O305" s="221">
        <f>IF(OR(B305="",C305=""),"",IFERROR(C305/1000*INDEX(Vöruskrá!R:R,MATCH(B305,Vöruskrá!B:B,0))/1000,""))</f>
        <v>0</v>
      </c>
      <c r="P305" s="222"/>
      <c r="Q305" s="205"/>
      <c r="R305" s="6"/>
    </row>
    <row r="306" spans="1:18">
      <c r="A306" s="224"/>
      <c r="B306" s="224" t="s">
        <v>819</v>
      </c>
      <c r="C306" s="225">
        <v>341</v>
      </c>
      <c r="D306" s="219" t="str">
        <f>IF(B306="","",IFERROR(INDEX(Vöruskrá!F:F,MATCH(B306,Vöruskrá!B:B,0)),""))</f>
        <v>Svartur pipar 100% (Piper nigrum), hitaþurrkað.</v>
      </c>
      <c r="E306" s="219" t="str">
        <f>IF(B306="","",IFERROR(IF(INDEX(Vöruskrá!G:G,MATCH(B306,Vöruskrá!B:B,0))="","Engir skráðir",INDEX(Vöruskrá!G:G,MATCH(B306,Vöruskrá!B:B,0))),"Engir skráðir"))</f>
        <v>Engir skráðir</v>
      </c>
      <c r="F306" s="219" t="str">
        <f>IF(B306="","",IFERROR(INDEX(Vöruskrá!H:H,MATCH(B306,Vöruskrá!B:B,0)),""))</f>
        <v>Framleitt á svæði þar sem unnið er með glúten, fisk, krabbadýr, lindýr, mjólk, soja, sellerí, sinnep og sesam.</v>
      </c>
      <c r="G306" s="220">
        <f>IF(OR(B306="",C306=""),"",IFERROR(INDEX(Vöruskrá!J:J,MATCH(B306,Vöruskrá!B:B,0))*C306/100000,""))</f>
        <v>1.31626</v>
      </c>
      <c r="H306" s="220">
        <f>IF(OR(B306="",C306=""),"",IFERROR(INDEX(Vöruskrá!K:K,MATCH(B306,Vöruskrá!B:B,0))*C306/100000,""))</f>
        <v>1.1252999999999999E-2</v>
      </c>
      <c r="I306" s="220">
        <f>IF(OR(B306="",C306=""),"",IFERROR(INDEX(Vöruskrá!L:L,MATCH(B306,Vöruskrá!B:B,0))*C306/100000,""))</f>
        <v>3.4099999999999998E-3</v>
      </c>
      <c r="J306" s="220">
        <f>IF(OR(B306="",C306=""),"",IFERROR(INDEX(Vöruskrá!M:M,MATCH(B306,Vöruskrá!B:B,0))*C306/100000,""))</f>
        <v>0.22165000000000001</v>
      </c>
      <c r="K306" s="220">
        <f>IF(OR(B306="",C306=""),"",IFERROR(INDEX(Vöruskrá!N:N,MATCH(B306,Vöruskrá!B:B,0))*C306/100000,""))</f>
        <v>2.0460000000000001E-3</v>
      </c>
      <c r="L306" s="220">
        <f>IF(OR(B306="",C306=""),"",IFERROR(INDEX(Vöruskrá!O:O,MATCH(B306,Vöruskrá!B:B,0))*C306/100000,""))</f>
        <v>3.7510000000000002E-2</v>
      </c>
      <c r="M306" s="220">
        <f>IF(OR(B306="",C306=""),"",IFERROR(INDEX(Vöruskrá!P:P,MATCH(B306,Vöruskrá!B:B,0))*C306/100000,""))</f>
        <v>3.4099999999999999E-4</v>
      </c>
      <c r="N306" s="220">
        <f>IF(OR(B306="",C306=""),"",IFERROR(INDEX(Vöruskrá!Q:Q,MATCH(B306,Vöruskrá!B:B,0))*C306/100000,""))</f>
        <v>0</v>
      </c>
      <c r="O306" s="221">
        <f>IF(OR(B306="",C306=""),"",IFERROR(C306/1000*INDEX(Vöruskrá!R:R,MATCH(B306,Vöruskrá!B:B,0))/1000,""))</f>
        <v>0</v>
      </c>
      <c r="P306" s="224"/>
      <c r="Q306" s="204"/>
      <c r="R306" s="27"/>
    </row>
    <row r="307" spans="1:18">
      <c r="A307" s="222"/>
      <c r="B307" s="222" t="s">
        <v>833</v>
      </c>
      <c r="C307" s="223">
        <v>2275</v>
      </c>
      <c r="D307" s="219" t="str">
        <f>IF(B307="","",IFERROR(INDEX(Vöruskrá!F:F,MATCH(B307,Vöruskrá!B:B,0)),""))</f>
        <v>Þykktur sítrónusafi, vatn.</v>
      </c>
      <c r="E307" s="219" t="str">
        <f>IF(B307="","",IFERROR(IF(INDEX(Vöruskrá!G:G,MATCH(B307,Vöruskrá!B:B,0))="","Engir skráðir",INDEX(Vöruskrá!G:G,MATCH(B307,Vöruskrá!B:B,0))),"Engir skráðir"))</f>
        <v>Engir skráðir</v>
      </c>
      <c r="F307" s="219">
        <f>IF(B307="","",IFERROR(INDEX(Vöruskrá!H:H,MATCH(B307,Vöruskrá!B:B,0)),""))</f>
        <v>0</v>
      </c>
      <c r="G307" s="220">
        <f>IF(OR(B307="",C307=""),"",IFERROR(INDEX(Vöruskrá!J:J,MATCH(B307,Vöruskrá!B:B,0))*C307/100000,""))</f>
        <v>0.70525000000000004</v>
      </c>
      <c r="H307" s="220">
        <f>IF(OR(B307="",C307=""),"",IFERROR(INDEX(Vöruskrá!K:K,MATCH(B307,Vöruskrá!B:B,0))*C307/100000,""))</f>
        <v>4.5500000000000002E-3</v>
      </c>
      <c r="I307" s="220">
        <f>IF(OR(B307="",C307=""),"",IFERROR(INDEX(Vöruskrá!L:L,MATCH(B307,Vöruskrá!B:B,0))*C307/100000,""))</f>
        <v>0</v>
      </c>
      <c r="J307" s="220">
        <f>IF(OR(B307="",C307=""),"",IFERROR(INDEX(Vöruskrá!M:M,MATCH(B307,Vöruskrá!B:B,0))*C307/100000,""))</f>
        <v>0.156975</v>
      </c>
      <c r="K307" s="220">
        <f>IF(OR(B307="",C307=""),"",IFERROR(INDEX(Vöruskrá!N:N,MATCH(B307,Vöruskrá!B:B,0))*C307/100000,""))</f>
        <v>5.4600000000000003E-2</v>
      </c>
      <c r="L307" s="220">
        <f>IF(OR(B307="",C307=""),"",IFERROR(INDEX(Vöruskrá!O:O,MATCH(B307,Vöruskrá!B:B,0))*C307/100000,""))</f>
        <v>0</v>
      </c>
      <c r="M307" s="220">
        <f>IF(OR(B307="",C307=""),"",IFERROR(INDEX(Vöruskrá!P:P,MATCH(B307,Vöruskrá!B:B,0))*C307/100000,""))</f>
        <v>0</v>
      </c>
      <c r="N307" s="220">
        <f>IF(OR(B307="",C307=""),"",IFERROR(INDEX(Vöruskrá!Q:Q,MATCH(B307,Vöruskrá!B:B,0))*C307/100000,""))</f>
        <v>0</v>
      </c>
      <c r="O307" s="221">
        <f>IF(OR(B307="",C307=""),"",IFERROR(C307/1000*INDEX(Vöruskrá!R:R,MATCH(B307,Vöruskrá!B:B,0))/1000,""))</f>
        <v>0</v>
      </c>
      <c r="P307" s="222"/>
      <c r="Q307" s="205"/>
      <c r="R307" s="6"/>
    </row>
    <row r="308" spans="1:18" ht="26">
      <c r="A308" s="176" t="s">
        <v>3704</v>
      </c>
      <c r="B308" s="176"/>
      <c r="C308" s="177"/>
      <c r="D308" s="216" t="str">
        <f>_xlfn.TEXTJOIN(" | ",TRUE,D309:D313)</f>
        <v>Ýsa | Salt (salt, kekkjavarnarefni E535, lyftiefni E500). | Súkrósi | Svartur pipar 100% (Piper nigrum), hitaþurrkað. | 0</v>
      </c>
      <c r="E308" s="216" t="str" cm="1">
        <f t="array" ref="E308">IFERROR(_xlfn.TEXTJOIN(", ",TRUE,_xlfn.UNIQUE(_xlfn._xlws.FILTER(E309:E313,(E309:E313&lt;&gt;"Engir skráðir")*(E309:E313&lt;&gt;"")))),"Engir skráðir")</f>
        <v>Fiskur</v>
      </c>
      <c r="F308" s="216"/>
      <c r="G308" s="217">
        <f>IFERROR(SUM(G309:G313)/(SUM($C$309:$C$313)/100000),"")</f>
        <v>86.887379999999993</v>
      </c>
      <c r="H308" s="217">
        <f>IFERROR(SUM(H309:H313)/(SUM($C$309:$C$313)/100000),"")</f>
        <v>0.55700400000000005</v>
      </c>
      <c r="I308" s="217">
        <f>IFERROR(SUM(I309:I313)/(SUM($C$309:$C$313)/100000),"")</f>
        <v>8.2125000000000004E-2</v>
      </c>
      <c r="J308" s="217">
        <f>IFERROR(SUM(J309:J313)/(SUM($C$309:$C$313)/100000),"")</f>
        <v>2.2459500000000001</v>
      </c>
      <c r="K308" s="217">
        <f>IFERROR(SUM(K309:K313)/(SUM($C$309:$C$313)/100000),"")</f>
        <v>1.934898</v>
      </c>
      <c r="L308" s="217">
        <f>IFERROR(SUM(L309:L313)/(SUM($C$309:$C$313)/100000),"")</f>
        <v>17.83098</v>
      </c>
      <c r="M308" s="217">
        <f>IFERROR(SUM(M309:M313)/(SUM($C$309:$C$313)/100000),"")</f>
        <v>19.556367999999999</v>
      </c>
      <c r="N308" s="217">
        <f>IFERROR(SUM(N309:N313)/(SUM($C$309:$C$313)/100000),"")</f>
        <v>0</v>
      </c>
      <c r="O308" s="218" t="str">
        <f>IF(OR(B308="",C308=""),"",IFERROR(C308/1000*INDEX(Vöruskrá!R:R,MATCH(B308,Vöruskrá!B:B,0))/1000,""))</f>
        <v/>
      </c>
      <c r="P308" s="176" t="s">
        <v>3705</v>
      </c>
      <c r="Q308" s="204"/>
      <c r="R308" s="27"/>
    </row>
    <row r="309" spans="1:18">
      <c r="A309" s="222"/>
      <c r="B309" s="222" t="s">
        <v>926</v>
      </c>
      <c r="C309" s="223">
        <v>77295</v>
      </c>
      <c r="D309" s="219" t="str">
        <f>IF(B309="","",IFERROR(INDEX(Vöruskrá!F:F,MATCH(B309,Vöruskrá!B:B,0)),""))</f>
        <v>Ýsa</v>
      </c>
      <c r="E309" s="219" t="str">
        <f>IF(B309="","",IFERROR(IF(INDEX(Vöruskrá!G:G,MATCH(B309,Vöruskrá!B:B,0))="","Engir skráðir",INDEX(Vöruskrá!G:G,MATCH(B309,Vöruskrá!B:B,0))),"Engir skráðir"))</f>
        <v>Fiskur</v>
      </c>
      <c r="F309" s="219">
        <f>IF(B309="","",IFERROR(INDEX(Vöruskrá!H:H,MATCH(B309,Vöruskrá!B:B,0)),""))</f>
        <v>0</v>
      </c>
      <c r="G309" s="220">
        <f>IF(OR(B309="",C309=""),"",IFERROR(INDEX(Vöruskrá!J:J,MATCH(B309,Vöruskrá!B:B,0))*C309/100000,""))</f>
        <v>77.295000000000002</v>
      </c>
      <c r="H309" s="220">
        <f>IF(OR(B309="",C309=""),"",IFERROR(INDEX(Vöruskrá!K:K,MATCH(B309,Vöruskrá!B:B,0))*C309/100000,""))</f>
        <v>0.54106500000000002</v>
      </c>
      <c r="I309" s="220">
        <f>IF(OR(B309="",C309=""),"",IFERROR(INDEX(Vöruskrá!L:L,MATCH(B309,Vöruskrá!B:B,0))*C309/100000,""))</f>
        <v>7.7295000000000003E-2</v>
      </c>
      <c r="J309" s="220">
        <f>IF(OR(B309="",C309=""),"",IFERROR(INDEX(Vöruskrá!M:M,MATCH(B309,Vöruskrá!B:B,0))*C309/100000,""))</f>
        <v>0</v>
      </c>
      <c r="K309" s="220">
        <f>IF(OR(B309="",C309=""),"",IFERROR(INDEX(Vöruskrá!N:N,MATCH(B309,Vöruskrá!B:B,0))*C309/100000,""))</f>
        <v>0</v>
      </c>
      <c r="L309" s="220">
        <f>IF(OR(B309="",C309=""),"",IFERROR(INDEX(Vöruskrá!O:O,MATCH(B309,Vöruskrá!B:B,0))*C309/100000,""))</f>
        <v>17.777850000000001</v>
      </c>
      <c r="M309" s="220">
        <f>IF(OR(B309="",C309=""),"",IFERROR(INDEX(Vöruskrá!P:P,MATCH(B309,Vöruskrá!B:B,0))*C309/100000,""))</f>
        <v>0.23188500000000001</v>
      </c>
      <c r="N309" s="220">
        <f>IF(OR(B309="",C309=""),"",IFERROR(INDEX(Vöruskrá!Q:Q,MATCH(B309,Vöruskrá!B:B,0))*C309/100000,""))</f>
        <v>0</v>
      </c>
      <c r="O309" s="221">
        <f>IF(OR(B309="",C309=""),"",IFERROR(C309/1000*INDEX(Vöruskrá!R:R,MATCH(B309,Vöruskrá!B:B,0))/1000,""))</f>
        <v>0</v>
      </c>
      <c r="P309" s="222"/>
      <c r="Q309" s="205"/>
      <c r="R309" s="6"/>
    </row>
    <row r="310" spans="1:18">
      <c r="A310" s="224"/>
      <c r="B310" s="224" t="s">
        <v>299</v>
      </c>
      <c r="C310" s="225">
        <v>19324</v>
      </c>
      <c r="D310" s="219" t="str">
        <f>IF(B310="","",IFERROR(INDEX(Vöruskrá!F:F,MATCH(B310,Vöruskrá!B:B,0)),""))</f>
        <v>Salt (salt, kekkjavarnarefni E535, lyftiefni E500).</v>
      </c>
      <c r="E310" s="219" t="str">
        <f>IF(B310="","",IFERROR(IF(INDEX(Vöruskrá!G:G,MATCH(B310,Vöruskrá!B:B,0))="","Engir skráðir",INDEX(Vöruskrá!G:G,MATCH(B310,Vöruskrá!B:B,0))),"Engir skráðir"))</f>
        <v>Engir skráðir</v>
      </c>
      <c r="F310" s="219" t="str">
        <f>IF(B310="","",IFERROR(INDEX(Vöruskrá!H:H,MATCH(B310,Vöruskrá!B:B,0)),""))</f>
        <v>Framleitt á svæði þar sem unnið er með mjólk, glúten, egg, sesam, sellerí, soja og sinnep.</v>
      </c>
      <c r="G310" s="220">
        <f>IF(OR(B310="",C310=""),"",IFERROR(INDEX(Vöruskrá!J:J,MATCH(B310,Vöruskrá!B:B,0))*C310/100000,""))</f>
        <v>0</v>
      </c>
      <c r="H310" s="220">
        <f>IF(OR(B310="",C310=""),"",IFERROR(INDEX(Vöruskrá!K:K,MATCH(B310,Vöruskrá!B:B,0))*C310/100000,""))</f>
        <v>0</v>
      </c>
      <c r="I310" s="220">
        <f>IF(OR(B310="",C310=""),"",IFERROR(INDEX(Vöruskrá!L:L,MATCH(B310,Vöruskrá!B:B,0))*C310/100000,""))</f>
        <v>0</v>
      </c>
      <c r="J310" s="220">
        <f>IF(OR(B310="",C310=""),"",IFERROR(INDEX(Vöruskrá!M:M,MATCH(B310,Vöruskrá!B:B,0))*C310/100000,""))</f>
        <v>0</v>
      </c>
      <c r="K310" s="220">
        <f>IF(OR(B310="",C310=""),"",IFERROR(INDEX(Vöruskrá!N:N,MATCH(B310,Vöruskrá!B:B,0))*C310/100000,""))</f>
        <v>0</v>
      </c>
      <c r="L310" s="220">
        <f>IF(OR(B310="",C310=""),"",IFERROR(INDEX(Vöruskrá!O:O,MATCH(B310,Vöruskrá!B:B,0))*C310/100000,""))</f>
        <v>0</v>
      </c>
      <c r="M310" s="220">
        <f>IF(OR(B310="",C310=""),"",IFERROR(INDEX(Vöruskrá!P:P,MATCH(B310,Vöruskrá!B:B,0))*C310/100000,""))</f>
        <v>19.324000000000002</v>
      </c>
      <c r="N310" s="220">
        <f>IF(OR(B310="",C310=""),"",IFERROR(INDEX(Vöruskrá!Q:Q,MATCH(B310,Vöruskrá!B:B,0))*C310/100000,""))</f>
        <v>0</v>
      </c>
      <c r="O310" s="221">
        <f>IF(OR(B310="",C310=""),"",IFERROR(C310/1000*INDEX(Vöruskrá!R:R,MATCH(B310,Vöruskrá!B:B,0))/1000,""))</f>
        <v>0</v>
      </c>
      <c r="P310" s="224"/>
      <c r="Q310" s="204"/>
      <c r="R310" s="27"/>
    </row>
    <row r="311" spans="1:18">
      <c r="A311" s="222"/>
      <c r="B311" s="222" t="s">
        <v>477</v>
      </c>
      <c r="C311" s="223">
        <v>1932</v>
      </c>
      <c r="D311" s="219" t="str">
        <f>IF(B311="","",IFERROR(INDEX(Vöruskrá!F:F,MATCH(B311,Vöruskrá!B:B,0)),""))</f>
        <v>Súkrósi</v>
      </c>
      <c r="E311" s="219" t="str">
        <f>IF(B311="","",IFERROR(IF(INDEX(Vöruskrá!G:G,MATCH(B311,Vöruskrá!B:B,0))="","Engir skráðir",INDEX(Vöruskrá!G:G,MATCH(B311,Vöruskrá!B:B,0))),"Engir skráðir"))</f>
        <v>Engir skráðir</v>
      </c>
      <c r="F311" s="219">
        <f>IF(B311="","",IFERROR(INDEX(Vöruskrá!H:H,MATCH(B311,Vöruskrá!B:B,0)),""))</f>
        <v>0</v>
      </c>
      <c r="G311" s="220">
        <f>IF(OR(B311="",C311=""),"",IFERROR(INDEX(Vöruskrá!J:J,MATCH(B311,Vöruskrá!B:B,0))*C311/100000,""))</f>
        <v>7.7279999999999998</v>
      </c>
      <c r="H311" s="220">
        <f>IF(OR(B311="",C311=""),"",IFERROR(INDEX(Vöruskrá!K:K,MATCH(B311,Vöruskrá!B:B,0))*C311/100000,""))</f>
        <v>0</v>
      </c>
      <c r="I311" s="220">
        <f>IF(OR(B311="",C311=""),"",IFERROR(INDEX(Vöruskrá!L:L,MATCH(B311,Vöruskrá!B:B,0))*C311/100000,""))</f>
        <v>0</v>
      </c>
      <c r="J311" s="220">
        <f>IF(OR(B311="",C311=""),"",IFERROR(INDEX(Vöruskrá!M:M,MATCH(B311,Vöruskrá!B:B,0))*C311/100000,""))</f>
        <v>1.9319999999999999</v>
      </c>
      <c r="K311" s="220">
        <f>IF(OR(B311="",C311=""),"",IFERROR(INDEX(Vöruskrá!N:N,MATCH(B311,Vöruskrá!B:B,0))*C311/100000,""))</f>
        <v>1.9319999999999999</v>
      </c>
      <c r="L311" s="220">
        <f>IF(OR(B311="",C311=""),"",IFERROR(INDEX(Vöruskrá!O:O,MATCH(B311,Vöruskrá!B:B,0))*C311/100000,""))</f>
        <v>0</v>
      </c>
      <c r="M311" s="220">
        <f>IF(OR(B311="",C311=""),"",IFERROR(INDEX(Vöruskrá!P:P,MATCH(B311,Vöruskrá!B:B,0))*C311/100000,""))</f>
        <v>0</v>
      </c>
      <c r="N311" s="220">
        <f>IF(OR(B311="",C311=""),"",IFERROR(INDEX(Vöruskrá!Q:Q,MATCH(B311,Vöruskrá!B:B,0))*C311/100000,""))</f>
        <v>0</v>
      </c>
      <c r="O311" s="221">
        <f>IF(OR(B311="",C311=""),"",IFERROR(C311/1000*INDEX(Vöruskrá!R:R,MATCH(B311,Vöruskrá!B:B,0))/1000,""))</f>
        <v>0</v>
      </c>
      <c r="P311" s="222"/>
      <c r="Q311" s="205"/>
      <c r="R311" s="6"/>
    </row>
    <row r="312" spans="1:18">
      <c r="A312" s="224"/>
      <c r="B312" s="224" t="s">
        <v>819</v>
      </c>
      <c r="C312" s="225">
        <v>483</v>
      </c>
      <c r="D312" s="219" t="str">
        <f>IF(B312="","",IFERROR(INDEX(Vöruskrá!F:F,MATCH(B312,Vöruskrá!B:B,0)),""))</f>
        <v>Svartur pipar 100% (Piper nigrum), hitaþurrkað.</v>
      </c>
      <c r="E312" s="219" t="str">
        <f>IF(B312="","",IFERROR(IF(INDEX(Vöruskrá!G:G,MATCH(B312,Vöruskrá!B:B,0))="","Engir skráðir",INDEX(Vöruskrá!G:G,MATCH(B312,Vöruskrá!B:B,0))),"Engir skráðir"))</f>
        <v>Engir skráðir</v>
      </c>
      <c r="F312" s="219" t="str">
        <f>IF(B312="","",IFERROR(INDEX(Vöruskrá!H:H,MATCH(B312,Vöruskrá!B:B,0)),""))</f>
        <v>Framleitt á svæði þar sem unnið er með glúten, fisk, krabbadýr, lindýr, mjólk, soja, sellerí, sinnep og sesam.</v>
      </c>
      <c r="G312" s="220">
        <f>IF(OR(B312="",C312=""),"",IFERROR(INDEX(Vöruskrá!J:J,MATCH(B312,Vöruskrá!B:B,0))*C312/100000,""))</f>
        <v>1.8643799999999999</v>
      </c>
      <c r="H312" s="220">
        <f>IF(OR(B312="",C312=""),"",IFERROR(INDEX(Vöruskrá!K:K,MATCH(B312,Vöruskrá!B:B,0))*C312/100000,""))</f>
        <v>1.5938999999999998E-2</v>
      </c>
      <c r="I312" s="220">
        <f>IF(OR(B312="",C312=""),"",IFERROR(INDEX(Vöruskrá!L:L,MATCH(B312,Vöruskrá!B:B,0))*C312/100000,""))</f>
        <v>4.8300000000000001E-3</v>
      </c>
      <c r="J312" s="220">
        <f>IF(OR(B312="",C312=""),"",IFERROR(INDEX(Vöruskrá!M:M,MATCH(B312,Vöruskrá!B:B,0))*C312/100000,""))</f>
        <v>0.31395000000000001</v>
      </c>
      <c r="K312" s="220">
        <f>IF(OR(B312="",C312=""),"",IFERROR(INDEX(Vöruskrá!N:N,MATCH(B312,Vöruskrá!B:B,0))*C312/100000,""))</f>
        <v>2.898E-3</v>
      </c>
      <c r="L312" s="220">
        <f>IF(OR(B312="",C312=""),"",IFERROR(INDEX(Vöruskrá!O:O,MATCH(B312,Vöruskrá!B:B,0))*C312/100000,""))</f>
        <v>5.3129999999999997E-2</v>
      </c>
      <c r="M312" s="220">
        <f>IF(OR(B312="",C312=""),"",IFERROR(INDEX(Vöruskrá!P:P,MATCH(B312,Vöruskrá!B:B,0))*C312/100000,""))</f>
        <v>4.8300000000000003E-4</v>
      </c>
      <c r="N312" s="220">
        <f>IF(OR(B312="",C312=""),"",IFERROR(INDEX(Vöruskrá!Q:Q,MATCH(B312,Vöruskrá!B:B,0))*C312/100000,""))</f>
        <v>0</v>
      </c>
      <c r="O312" s="221">
        <f>IF(OR(B312="",C312=""),"",IFERROR(C312/1000*INDEX(Vöruskrá!R:R,MATCH(B312,Vöruskrá!B:B,0))/1000,""))</f>
        <v>0</v>
      </c>
      <c r="P312" s="224"/>
      <c r="Q312" s="204"/>
      <c r="R312" s="27"/>
    </row>
    <row r="313" spans="1:18">
      <c r="A313" s="222"/>
      <c r="B313" s="222" t="s">
        <v>3643</v>
      </c>
      <c r="C313" s="223">
        <v>966</v>
      </c>
      <c r="D313" s="219">
        <f>IF(B313="","",IFERROR(INDEX(Vöruskrá!F:F,MATCH(B313,Vöruskrá!B:B,0)),""))</f>
        <v>0</v>
      </c>
      <c r="E313" s="219" t="str">
        <f>IF(B313="","",IFERROR(IF(INDEX(Vöruskrá!G:G,MATCH(B313,Vöruskrá!B:B,0))="","Engir skráðir",INDEX(Vöruskrá!G:G,MATCH(B313,Vöruskrá!B:B,0))),"Engir skráðir"))</f>
        <v>Engir skráðir</v>
      </c>
      <c r="F313" s="219">
        <f>IF(B313="","",IFERROR(INDEX(Vöruskrá!H:H,MATCH(B313,Vöruskrá!B:B,0)),""))</f>
        <v>0</v>
      </c>
      <c r="G313" s="220">
        <f>IF(OR(B313="",C313=""),"",IFERROR(INDEX(Vöruskrá!J:J,MATCH(B313,Vöruskrá!B:B,0))*C313/100000,""))</f>
        <v>0</v>
      </c>
      <c r="H313" s="220">
        <f>IF(OR(B313="",C313=""),"",IFERROR(INDEX(Vöruskrá!K:K,MATCH(B313,Vöruskrá!B:B,0))*C313/100000,""))</f>
        <v>0</v>
      </c>
      <c r="I313" s="220">
        <f>IF(OR(B313="",C313=""),"",IFERROR(INDEX(Vöruskrá!L:L,MATCH(B313,Vöruskrá!B:B,0))*C313/100000,""))</f>
        <v>0</v>
      </c>
      <c r="J313" s="220">
        <f>IF(OR(B313="",C313=""),"",IFERROR(INDEX(Vöruskrá!M:M,MATCH(B313,Vöruskrá!B:B,0))*C313/100000,""))</f>
        <v>0</v>
      </c>
      <c r="K313" s="220">
        <f>IF(OR(B313="",C313=""),"",IFERROR(INDEX(Vöruskrá!N:N,MATCH(B313,Vöruskrá!B:B,0))*C313/100000,""))</f>
        <v>0</v>
      </c>
      <c r="L313" s="220">
        <f>IF(OR(B313="",C313=""),"",IFERROR(INDEX(Vöruskrá!O:O,MATCH(B313,Vöruskrá!B:B,0))*C313/100000,""))</f>
        <v>0</v>
      </c>
      <c r="M313" s="220">
        <f>IF(OR(B313="",C313=""),"",IFERROR(INDEX(Vöruskrá!P:P,MATCH(B313,Vöruskrá!B:B,0))*C313/100000,""))</f>
        <v>0</v>
      </c>
      <c r="N313" s="220">
        <f>IF(OR(B313="",C313=""),"",IFERROR(INDEX(Vöruskrá!Q:Q,MATCH(B313,Vöruskrá!B:B,0))*C313/100000,""))</f>
        <v>0</v>
      </c>
      <c r="O313" s="221">
        <f>IF(OR(B313="",C313=""),"",IFERROR(C313/1000*INDEX(Vöruskrá!R:R,MATCH(B313,Vöruskrá!B:B,0))/1000,""))</f>
        <v>0</v>
      </c>
      <c r="P313" s="222"/>
      <c r="Q313" s="205"/>
      <c r="R313" s="6"/>
    </row>
    <row r="314" spans="1:18">
      <c r="A314" s="176" t="s">
        <v>3706</v>
      </c>
      <c r="B314" s="176"/>
      <c r="C314" s="177"/>
      <c r="D314" s="216" t="str">
        <f>_xlfn.TEXTJOIN(" | ",TRUE,D315:D319)</f>
        <v>Ýsa | Salt (salt, kekkjavarnarefni E535, lyftiefni E500). | Laukur | Lárviðarlauf 100% (Laurus nobilis). | Svartur pipar 100% (Piper nigrum), hitaþurrkað.</v>
      </c>
      <c r="E314" s="216" t="str" cm="1">
        <f t="array" ref="E314">IFERROR(_xlfn.TEXTJOIN(", ",TRUE,_xlfn.UNIQUE(_xlfn._xlws.FILTER(E315:E319,(E315:E319&lt;&gt;"Engir skráðir")*(E315:E319&lt;&gt;"")))),"Engir skráðir")</f>
        <v>Fiskur</v>
      </c>
      <c r="F314" s="216"/>
      <c r="G314" s="217">
        <f>IFERROR(SUM(G315:G319)/(SUM($C$315:$C$319)/100000),"")</f>
        <v>95.764707647076463</v>
      </c>
      <c r="H314" s="217">
        <f>IFERROR(SUM(H315:H319)/(SUM($C$315:$C$319)/100000),"")</f>
        <v>0.66817868178681783</v>
      </c>
      <c r="I314" s="217">
        <f>IFERROR(SUM(I315:I319)/(SUM($C$315:$C$319)/100000),"")</f>
        <v>9.7111971119711177E-2</v>
      </c>
      <c r="J314" s="217">
        <f>IFERROR(SUM(J315:J319)/(SUM($C$315:$C$319)/100000),"")</f>
        <v>0.74153741537415374</v>
      </c>
      <c r="K314" s="217">
        <f>IFERROR(SUM(K315:K319)/(SUM($C$315:$C$319)/100000),"")</f>
        <v>0.24330243302433022</v>
      </c>
      <c r="L314" s="217">
        <f>IFERROR(SUM(L315:L319)/(SUM($C$315:$C$319)/100000),"")</f>
        <v>21.295792957929578</v>
      </c>
      <c r="M314" s="217">
        <f>IFERROR(SUM(M315:M319)/(SUM($C$315:$C$319)/100000),"")</f>
        <v>2.0048630486304866</v>
      </c>
      <c r="N314" s="217">
        <f>IFERROR(SUM(N315:N319)/(SUM($C$315:$C$319)/100000),"")</f>
        <v>9.7920979209792092E-2</v>
      </c>
      <c r="O314" s="218" t="str">
        <f>IF(OR(B314="",C314=""),"",IFERROR(C314/1000*INDEX(Vöruskrá!R:R,MATCH(B314,Vöruskrá!B:B,0))/1000,""))</f>
        <v/>
      </c>
      <c r="P314" s="176" t="s">
        <v>3707</v>
      </c>
      <c r="Q314" s="204"/>
      <c r="R314" s="27"/>
    </row>
    <row r="315" spans="1:18">
      <c r="A315" s="222"/>
      <c r="B315" s="222" t="s">
        <v>926</v>
      </c>
      <c r="C315" s="223">
        <v>92166</v>
      </c>
      <c r="D315" s="219" t="str">
        <f>IF(B315="","",IFERROR(INDEX(Vöruskrá!F:F,MATCH(B315,Vöruskrá!B:B,0)),""))</f>
        <v>Ýsa</v>
      </c>
      <c r="E315" s="219" t="str">
        <f>IF(B315="","",IFERROR(IF(INDEX(Vöruskrá!G:G,MATCH(B315,Vöruskrá!B:B,0))="","Engir skráðir",INDEX(Vöruskrá!G:G,MATCH(B315,Vöruskrá!B:B,0))),"Engir skráðir"))</f>
        <v>Fiskur</v>
      </c>
      <c r="F315" s="219">
        <f>IF(B315="","",IFERROR(INDEX(Vöruskrá!H:H,MATCH(B315,Vöruskrá!B:B,0)),""))</f>
        <v>0</v>
      </c>
      <c r="G315" s="220">
        <f>IF(OR(B315="",C315=""),"",IFERROR(INDEX(Vöruskrá!J:J,MATCH(B315,Vöruskrá!B:B,0))*C315/100000,""))</f>
        <v>92.165999999999997</v>
      </c>
      <c r="H315" s="220">
        <f>IF(OR(B315="",C315=""),"",IFERROR(INDEX(Vöruskrá!K:K,MATCH(B315,Vöruskrá!B:B,0))*C315/100000,""))</f>
        <v>0.64516200000000001</v>
      </c>
      <c r="I315" s="220">
        <f>IF(OR(B315="",C315=""),"",IFERROR(INDEX(Vöruskrá!L:L,MATCH(B315,Vöruskrá!B:B,0))*C315/100000,""))</f>
        <v>9.2165999999999998E-2</v>
      </c>
      <c r="J315" s="220">
        <f>IF(OR(B315="",C315=""),"",IFERROR(INDEX(Vöruskrá!M:M,MATCH(B315,Vöruskrá!B:B,0))*C315/100000,""))</f>
        <v>0</v>
      </c>
      <c r="K315" s="220">
        <f>IF(OR(B315="",C315=""),"",IFERROR(INDEX(Vöruskrá!N:N,MATCH(B315,Vöruskrá!B:B,0))*C315/100000,""))</f>
        <v>0</v>
      </c>
      <c r="L315" s="220">
        <f>IF(OR(B315="",C315=""),"",IFERROR(INDEX(Vöruskrá!O:O,MATCH(B315,Vöruskrá!B:B,0))*C315/100000,""))</f>
        <v>21.198180000000001</v>
      </c>
      <c r="M315" s="220">
        <f>IF(OR(B315="",C315=""),"",IFERROR(INDEX(Vöruskrá!P:P,MATCH(B315,Vöruskrá!B:B,0))*C315/100000,""))</f>
        <v>0.27649799999999997</v>
      </c>
      <c r="N315" s="220">
        <f>IF(OR(B315="",C315=""),"",IFERROR(INDEX(Vöruskrá!Q:Q,MATCH(B315,Vöruskrá!B:B,0))*C315/100000,""))</f>
        <v>0</v>
      </c>
      <c r="O315" s="221">
        <f>IF(OR(B315="",C315=""),"",IFERROR(C315/1000*INDEX(Vöruskrá!R:R,MATCH(B315,Vöruskrá!B:B,0))/1000,""))</f>
        <v>0</v>
      </c>
      <c r="P315" s="222"/>
      <c r="Q315" s="205"/>
      <c r="R315" s="6"/>
    </row>
    <row r="316" spans="1:18">
      <c r="A316" s="224"/>
      <c r="B316" s="224" t="s">
        <v>299</v>
      </c>
      <c r="C316" s="225">
        <v>1728</v>
      </c>
      <c r="D316" s="219" t="str">
        <f>IF(B316="","",IFERROR(INDEX(Vöruskrá!F:F,MATCH(B316,Vöruskrá!B:B,0)),""))</f>
        <v>Salt (salt, kekkjavarnarefni E535, lyftiefni E500).</v>
      </c>
      <c r="E316" s="219" t="str">
        <f>IF(B316="","",IFERROR(IF(INDEX(Vöruskrá!G:G,MATCH(B316,Vöruskrá!B:B,0))="","Engir skráðir",INDEX(Vöruskrá!G:G,MATCH(B316,Vöruskrá!B:B,0))),"Engir skráðir"))</f>
        <v>Engir skráðir</v>
      </c>
      <c r="F316" s="219" t="str">
        <f>IF(B316="","",IFERROR(INDEX(Vöruskrá!H:H,MATCH(B316,Vöruskrá!B:B,0)),""))</f>
        <v>Framleitt á svæði þar sem unnið er með mjólk, glúten, egg, sesam, sellerí, soja og sinnep.</v>
      </c>
      <c r="G316" s="220">
        <f>IF(OR(B316="",C316=""),"",IFERROR(INDEX(Vöruskrá!J:J,MATCH(B316,Vöruskrá!B:B,0))*C316/100000,""))</f>
        <v>0</v>
      </c>
      <c r="H316" s="220">
        <f>IF(OR(B316="",C316=""),"",IFERROR(INDEX(Vöruskrá!K:K,MATCH(B316,Vöruskrá!B:B,0))*C316/100000,""))</f>
        <v>0</v>
      </c>
      <c r="I316" s="220">
        <f>IF(OR(B316="",C316=""),"",IFERROR(INDEX(Vöruskrá!L:L,MATCH(B316,Vöruskrá!B:B,0))*C316/100000,""))</f>
        <v>0</v>
      </c>
      <c r="J316" s="220">
        <f>IF(OR(B316="",C316=""),"",IFERROR(INDEX(Vöruskrá!M:M,MATCH(B316,Vöruskrá!B:B,0))*C316/100000,""))</f>
        <v>0</v>
      </c>
      <c r="K316" s="220">
        <f>IF(OR(B316="",C316=""),"",IFERROR(INDEX(Vöruskrá!N:N,MATCH(B316,Vöruskrá!B:B,0))*C316/100000,""))</f>
        <v>0</v>
      </c>
      <c r="L316" s="220">
        <f>IF(OR(B316="",C316=""),"",IFERROR(INDEX(Vöruskrá!O:O,MATCH(B316,Vöruskrá!B:B,0))*C316/100000,""))</f>
        <v>0</v>
      </c>
      <c r="M316" s="220">
        <f>IF(OR(B316="",C316=""),"",IFERROR(INDEX(Vöruskrá!P:P,MATCH(B316,Vöruskrá!B:B,0))*C316/100000,""))</f>
        <v>1.728</v>
      </c>
      <c r="N316" s="220">
        <f>IF(OR(B316="",C316=""),"",IFERROR(INDEX(Vöruskrá!Q:Q,MATCH(B316,Vöruskrá!B:B,0))*C316/100000,""))</f>
        <v>0</v>
      </c>
      <c r="O316" s="221">
        <f>IF(OR(B316="",C316=""),"",IFERROR(C316/1000*INDEX(Vöruskrá!R:R,MATCH(B316,Vöruskrá!B:B,0))/1000,""))</f>
        <v>0</v>
      </c>
      <c r="P316" s="224"/>
      <c r="Q316" s="204"/>
      <c r="R316" s="27"/>
    </row>
    <row r="317" spans="1:18">
      <c r="A317" s="222"/>
      <c r="B317" s="222" t="s">
        <v>1010</v>
      </c>
      <c r="C317" s="223">
        <v>5760</v>
      </c>
      <c r="D317" s="219" t="str">
        <f>IF(B317="","",IFERROR(INDEX(Vöruskrá!F:F,MATCH(B317,Vöruskrá!B:B,0)),""))</f>
        <v>Laukur</v>
      </c>
      <c r="E317" s="219" t="str">
        <f>IF(B317="","",IFERROR(IF(INDEX(Vöruskrá!G:G,MATCH(B317,Vöruskrá!B:B,0))="","Engir skráðir",INDEX(Vöruskrá!G:G,MATCH(B317,Vöruskrá!B:B,0))),"Engir skráðir"))</f>
        <v>Engir skráðir</v>
      </c>
      <c r="F317" s="219">
        <f>IF(B317="","",IFERROR(INDEX(Vöruskrá!H:H,MATCH(B317,Vöruskrá!B:B,0)),""))</f>
        <v>0</v>
      </c>
      <c r="G317" s="220">
        <f>IF(OR(B317="",C317=""),"",IFERROR(INDEX(Vöruskrá!J:J,MATCH(B317,Vöruskrá!B:B,0))*C317/100000,""))</f>
        <v>2.3039999999999998</v>
      </c>
      <c r="H317" s="220">
        <f>IF(OR(B317="",C317=""),"",IFERROR(INDEX(Vöruskrá!K:K,MATCH(B317,Vöruskrá!B:B,0))*C317/100000,""))</f>
        <v>5.7600000000000004E-3</v>
      </c>
      <c r="I317" s="220">
        <f>IF(OR(B317="",C317=""),"",IFERROR(INDEX(Vöruskrá!L:L,MATCH(B317,Vöruskrá!B:B,0))*C317/100000,""))</f>
        <v>0</v>
      </c>
      <c r="J317" s="220">
        <f>IF(OR(B317="",C317=""),"",IFERROR(INDEX(Vöruskrá!M:M,MATCH(B317,Vöruskrá!B:B,0))*C317/100000,""))</f>
        <v>0.53568000000000005</v>
      </c>
      <c r="K317" s="220">
        <f>IF(OR(B317="",C317=""),"",IFERROR(INDEX(Vöruskrá!N:N,MATCH(B317,Vöruskrá!B:B,0))*C317/100000,""))</f>
        <v>0.24192</v>
      </c>
      <c r="L317" s="220">
        <f>IF(OR(B317="",C317=""),"",IFERROR(INDEX(Vöruskrá!O:O,MATCH(B317,Vöruskrá!B:B,0))*C317/100000,""))</f>
        <v>6.3360000000000014E-2</v>
      </c>
      <c r="M317" s="220">
        <f>IF(OR(B317="",C317=""),"",IFERROR(INDEX(Vöruskrá!P:P,MATCH(B317,Vöruskrá!B:B,0))*C317/100000,""))</f>
        <v>0</v>
      </c>
      <c r="N317" s="220">
        <f>IF(OR(B317="",C317=""),"",IFERROR(INDEX(Vöruskrá!Q:Q,MATCH(B317,Vöruskrá!B:B,0))*C317/100000,""))</f>
        <v>9.7919999999999993E-2</v>
      </c>
      <c r="O317" s="221">
        <f>IF(OR(B317="",C317=""),"",IFERROR(C317/1000*INDEX(Vöruskrá!R:R,MATCH(B317,Vöruskrá!B:B,0))/1000,""))</f>
        <v>0</v>
      </c>
      <c r="P317" s="222"/>
      <c r="Q317" s="205"/>
      <c r="R317" s="6"/>
    </row>
    <row r="318" spans="1:18">
      <c r="A318" s="224"/>
      <c r="B318" s="224" t="s">
        <v>808</v>
      </c>
      <c r="C318" s="225">
        <v>115</v>
      </c>
      <c r="D318" s="219" t="str">
        <f>IF(B318="","",IFERROR(INDEX(Vöruskrá!F:F,MATCH(B318,Vöruskrá!B:B,0)),""))</f>
        <v>Lárviðarlauf 100% (Laurus nobilis).</v>
      </c>
      <c r="E318" s="219" t="str">
        <f>IF(B318="","",IFERROR(IF(INDEX(Vöruskrá!G:G,MATCH(B318,Vöruskrá!B:B,0))="","Engir skráðir",INDEX(Vöruskrá!G:G,MATCH(B318,Vöruskrá!B:B,0))),"Engir skráðir"))</f>
        <v>Engir skráðir</v>
      </c>
      <c r="F318" s="219" t="str">
        <f>IF(B318="","",IFERROR(INDEX(Vöruskrá!H:H,MATCH(B318,Vöruskrá!B:B,0)),""))</f>
        <v>Framleitt á svæði þar sem unnið er með glúten, fisk, krabbadýr, lindýr, mjólk, soja, sellerí, sinnep og sesam.</v>
      </c>
      <c r="G318" s="220">
        <f>IF(OR(B318="",C318=""),"",IFERROR(INDEX(Vöruskrá!J:J,MATCH(B318,Vöruskrá!B:B,0))*C318/100000,""))</f>
        <v>0.40594999999999998</v>
      </c>
      <c r="H318" s="220">
        <f>IF(OR(B318="",C318=""),"",IFERROR(INDEX(Vöruskrá!K:K,MATCH(B318,Vöruskrá!B:B,0))*C318/100000,""))</f>
        <v>9.6600000000000002E-3</v>
      </c>
      <c r="I318" s="220">
        <f>IF(OR(B318="",C318=""),"",IFERROR(INDEX(Vöruskrá!L:L,MATCH(B318,Vöruskrá!B:B,0))*C318/100000,""))</f>
        <v>2.6450000000000002E-3</v>
      </c>
      <c r="J318" s="220">
        <f>IF(OR(B318="",C318=""),"",IFERROR(INDEX(Vöruskrá!M:M,MATCH(B318,Vöruskrá!B:B,0))*C318/100000,""))</f>
        <v>5.6349999999999997E-2</v>
      </c>
      <c r="K318" s="220">
        <f>IF(OR(B318="",C318=""),"",IFERROR(INDEX(Vöruskrá!N:N,MATCH(B318,Vöruskrá!B:B,0))*C318/100000,""))</f>
        <v>0</v>
      </c>
      <c r="L318" s="220">
        <f>IF(OR(B318="",C318=""),"",IFERROR(INDEX(Vöruskrá!O:O,MATCH(B318,Vöruskrá!B:B,0))*C318/100000,""))</f>
        <v>8.7399999999999995E-3</v>
      </c>
      <c r="M318" s="220">
        <f>IF(OR(B318="",C318=""),"",IFERROR(INDEX(Vöruskrá!P:P,MATCH(B318,Vöruskrá!B:B,0))*C318/100000,""))</f>
        <v>1.15E-4</v>
      </c>
      <c r="N318" s="220">
        <f>IF(OR(B318="",C318=""),"",IFERROR(INDEX(Vöruskrá!Q:Q,MATCH(B318,Vöruskrá!B:B,0))*C318/100000,""))</f>
        <v>0</v>
      </c>
      <c r="O318" s="221">
        <f>IF(OR(B318="",C318=""),"",IFERROR(C318/1000*INDEX(Vöruskrá!R:R,MATCH(B318,Vöruskrá!B:B,0))/1000,""))</f>
        <v>0</v>
      </c>
      <c r="P318" s="224"/>
      <c r="Q318" s="204"/>
      <c r="R318" s="27"/>
    </row>
    <row r="319" spans="1:18">
      <c r="A319" s="222"/>
      <c r="B319" s="222" t="s">
        <v>819</v>
      </c>
      <c r="C319" s="223">
        <v>230</v>
      </c>
      <c r="D319" s="219" t="str">
        <f>IF(B319="","",IFERROR(INDEX(Vöruskrá!F:F,MATCH(B319,Vöruskrá!B:B,0)),""))</f>
        <v>Svartur pipar 100% (Piper nigrum), hitaþurrkað.</v>
      </c>
      <c r="E319" s="219" t="str">
        <f>IF(B319="","",IFERROR(IF(INDEX(Vöruskrá!G:G,MATCH(B319,Vöruskrá!B:B,0))="","Engir skráðir",INDEX(Vöruskrá!G:G,MATCH(B319,Vöruskrá!B:B,0))),"Engir skráðir"))</f>
        <v>Engir skráðir</v>
      </c>
      <c r="F319" s="219" t="str">
        <f>IF(B319="","",IFERROR(INDEX(Vöruskrá!H:H,MATCH(B319,Vöruskrá!B:B,0)),""))</f>
        <v>Framleitt á svæði þar sem unnið er með glúten, fisk, krabbadýr, lindýr, mjólk, soja, sellerí, sinnep og sesam.</v>
      </c>
      <c r="G319" s="220">
        <f>IF(OR(B319="",C319=""),"",IFERROR(INDEX(Vöruskrá!J:J,MATCH(B319,Vöruskrá!B:B,0))*C319/100000,""))</f>
        <v>0.88780000000000003</v>
      </c>
      <c r="H319" s="220">
        <f>IF(OR(B319="",C319=""),"",IFERROR(INDEX(Vöruskrá!K:K,MATCH(B319,Vöruskrá!B:B,0))*C319/100000,""))</f>
        <v>7.5900000000000004E-3</v>
      </c>
      <c r="I319" s="220">
        <f>IF(OR(B319="",C319=""),"",IFERROR(INDEX(Vöruskrá!L:L,MATCH(B319,Vöruskrá!B:B,0))*C319/100000,""))</f>
        <v>2.3E-3</v>
      </c>
      <c r="J319" s="220">
        <f>IF(OR(B319="",C319=""),"",IFERROR(INDEX(Vöruskrá!M:M,MATCH(B319,Vöruskrá!B:B,0))*C319/100000,""))</f>
        <v>0.14949999999999999</v>
      </c>
      <c r="K319" s="220">
        <f>IF(OR(B319="",C319=""),"",IFERROR(INDEX(Vöruskrá!N:N,MATCH(B319,Vöruskrá!B:B,0))*C319/100000,""))</f>
        <v>1.3799999999999999E-3</v>
      </c>
      <c r="L319" s="220">
        <f>IF(OR(B319="",C319=""),"",IFERROR(INDEX(Vöruskrá!O:O,MATCH(B319,Vöruskrá!B:B,0))*C319/100000,""))</f>
        <v>2.53E-2</v>
      </c>
      <c r="M319" s="220">
        <f>IF(OR(B319="",C319=""),"",IFERROR(INDEX(Vöruskrá!P:P,MATCH(B319,Vöruskrá!B:B,0))*C319/100000,""))</f>
        <v>2.3000000000000001E-4</v>
      </c>
      <c r="N319" s="220">
        <f>IF(OR(B319="",C319=""),"",IFERROR(INDEX(Vöruskrá!Q:Q,MATCH(B319,Vöruskrá!B:B,0))*C319/100000,""))</f>
        <v>0</v>
      </c>
      <c r="O319" s="221">
        <f>IF(OR(B319="",C319=""),"",IFERROR(C319/1000*INDEX(Vöruskrá!R:R,MATCH(B319,Vöruskrá!B:B,0))/1000,""))</f>
        <v>0</v>
      </c>
      <c r="P319" s="222"/>
      <c r="Q319" s="205"/>
      <c r="R319" s="6"/>
    </row>
    <row r="320" spans="1:18" ht="26">
      <c r="A320" s="176" t="s">
        <v>3708</v>
      </c>
      <c r="B320" s="176"/>
      <c r="C320" s="177"/>
      <c r="D320" s="216" t="str">
        <f>_xlfn.TEXTJOIN(" | ",TRUE,D321:D328)</f>
        <v>Ýsa | Kartöflur | Laukur | **Rjómi**, salt. | **Mjólk**. Fitusprengd og gerilsneydd. | Rjómi (**mjólk**) | Salt (salt, kekkjavarnarefni E535, lyftiefni E500). | Svartur pipar 100% (Piper nigrum), hitaþurrkað.</v>
      </c>
      <c r="E320" s="216" t="str" cm="1">
        <f t="array" ref="E320">IFERROR(_xlfn.TEXTJOIN(", ",TRUE,_xlfn.UNIQUE(_xlfn._xlws.FILTER(E321:E328,(E321:E328&lt;&gt;"Engir skráðir")*(E321:E328&lt;&gt;"")))),"Engir skráðir")</f>
        <v>Fiskur, Mjólk</v>
      </c>
      <c r="F320" s="216"/>
      <c r="G320" s="217">
        <f>IFERROR(SUM(G321:G328)/(SUM($C$321:$C$328)/100000),"")</f>
        <v>104.94731</v>
      </c>
      <c r="H320" s="217">
        <f>IFERROR(SUM(H321:H328)/(SUM($C$321:$C$328)/100000),"")</f>
        <v>3.9417529999999998</v>
      </c>
      <c r="I320" s="217">
        <f>IFERROR(SUM(I321:I328)/(SUM($C$321:$C$328)/100000),"")</f>
        <v>2.2495600000000002</v>
      </c>
      <c r="J320" s="217">
        <f>IFERROR(SUM(J321:J328)/(SUM($C$321:$C$328)/100000),"")</f>
        <v>8.5233209999999993</v>
      </c>
      <c r="K320" s="217">
        <f>IFERROR(SUM(K321:K328)/(SUM($C$321:$C$328)/100000),"")</f>
        <v>1.3809580000000001</v>
      </c>
      <c r="L320" s="217">
        <f>IFERROR(SUM(L321:L328)/(SUM($C$321:$C$328)/100000),"")</f>
        <v>8.7234069999999999</v>
      </c>
      <c r="M320" s="217">
        <f>IFERROR(SUM(M321:M328)/(SUM($C$321:$C$328)/100000),"")</f>
        <v>0.66429899999999997</v>
      </c>
      <c r="N320" s="217">
        <f>IFERROR(SUM(N321:N328)/(SUM($C$321:$C$328)/100000),"")</f>
        <v>1.008877</v>
      </c>
      <c r="O320" s="218" t="str">
        <f>IF(OR(B320="",C320=""),"",IFERROR(C320/1000*INDEX(Vöruskrá!R:R,MATCH(B320,Vöruskrá!B:B,0))/1000,""))</f>
        <v/>
      </c>
      <c r="P320" s="176" t="s">
        <v>3709</v>
      </c>
      <c r="Q320" s="204"/>
      <c r="R320" s="27"/>
    </row>
    <row r="321" spans="1:18">
      <c r="A321" s="222"/>
      <c r="B321" s="222" t="s">
        <v>926</v>
      </c>
      <c r="C321" s="223">
        <v>31364</v>
      </c>
      <c r="D321" s="219" t="str">
        <f>IF(B321="","",IFERROR(INDEX(Vöruskrá!F:F,MATCH(B321,Vöruskrá!B:B,0)),""))</f>
        <v>Ýsa</v>
      </c>
      <c r="E321" s="219" t="str">
        <f>IF(B321="","",IFERROR(IF(INDEX(Vöruskrá!G:G,MATCH(B321,Vöruskrá!B:B,0))="","Engir skráðir",INDEX(Vöruskrá!G:G,MATCH(B321,Vöruskrá!B:B,0))),"Engir skráðir"))</f>
        <v>Fiskur</v>
      </c>
      <c r="F321" s="219">
        <f>IF(B321="","",IFERROR(INDEX(Vöruskrá!H:H,MATCH(B321,Vöruskrá!B:B,0)),""))</f>
        <v>0</v>
      </c>
      <c r="G321" s="220">
        <f>IF(OR(B321="",C321=""),"",IFERROR(INDEX(Vöruskrá!J:J,MATCH(B321,Vöruskrá!B:B,0))*C321/100000,""))</f>
        <v>31.364000000000001</v>
      </c>
      <c r="H321" s="220">
        <f>IF(OR(B321="",C321=""),"",IFERROR(INDEX(Vöruskrá!K:K,MATCH(B321,Vöruskrá!B:B,0))*C321/100000,""))</f>
        <v>0.21954799999999999</v>
      </c>
      <c r="I321" s="220">
        <f>IF(OR(B321="",C321=""),"",IFERROR(INDEX(Vöruskrá!L:L,MATCH(B321,Vöruskrá!B:B,0))*C321/100000,""))</f>
        <v>3.1364000000000003E-2</v>
      </c>
      <c r="J321" s="220">
        <f>IF(OR(B321="",C321=""),"",IFERROR(INDEX(Vöruskrá!M:M,MATCH(B321,Vöruskrá!B:B,0))*C321/100000,""))</f>
        <v>0</v>
      </c>
      <c r="K321" s="220">
        <f>IF(OR(B321="",C321=""),"",IFERROR(INDEX(Vöruskrá!N:N,MATCH(B321,Vöruskrá!B:B,0))*C321/100000,""))</f>
        <v>0</v>
      </c>
      <c r="L321" s="220">
        <f>IF(OR(B321="",C321=""),"",IFERROR(INDEX(Vöruskrá!O:O,MATCH(B321,Vöruskrá!B:B,0))*C321/100000,""))</f>
        <v>7.2137200000000004</v>
      </c>
      <c r="M321" s="220">
        <f>IF(OR(B321="",C321=""),"",IFERROR(INDEX(Vöruskrá!P:P,MATCH(B321,Vöruskrá!B:B,0))*C321/100000,""))</f>
        <v>9.4091999999999995E-2</v>
      </c>
      <c r="N321" s="220">
        <f>IF(OR(B321="",C321=""),"",IFERROR(INDEX(Vöruskrá!Q:Q,MATCH(B321,Vöruskrá!B:B,0))*C321/100000,""))</f>
        <v>0</v>
      </c>
      <c r="O321" s="221">
        <f>IF(OR(B321="",C321=""),"",IFERROR(C321/1000*INDEX(Vöruskrá!R:R,MATCH(B321,Vöruskrá!B:B,0))/1000,""))</f>
        <v>0</v>
      </c>
      <c r="P321" s="222"/>
      <c r="Q321" s="205"/>
      <c r="R321" s="6"/>
    </row>
    <row r="322" spans="1:18">
      <c r="A322" s="224"/>
      <c r="B322" s="224" t="s">
        <v>635</v>
      </c>
      <c r="C322" s="225">
        <v>41819</v>
      </c>
      <c r="D322" s="219" t="str">
        <f>IF(B322="","",IFERROR(INDEX(Vöruskrá!F:F,MATCH(B322,Vöruskrá!B:B,0)),""))</f>
        <v>Kartöflur</v>
      </c>
      <c r="E322" s="219" t="str">
        <f>IF(B322="","",IFERROR(IF(INDEX(Vöruskrá!G:G,MATCH(B322,Vöruskrá!B:B,0))="","Engir skráðir",INDEX(Vöruskrá!G:G,MATCH(B322,Vöruskrá!B:B,0))),"Engir skráðir"))</f>
        <v>Engir skráðir</v>
      </c>
      <c r="F322" s="219">
        <f>IF(B322="","",IFERROR(INDEX(Vöruskrá!H:H,MATCH(B322,Vöruskrá!B:B,0)),""))</f>
        <v>0</v>
      </c>
      <c r="G322" s="220">
        <f>IF(OR(B322="",C322=""),"",IFERROR(INDEX(Vöruskrá!J:J,MATCH(B322,Vöruskrá!B:B,0))*C322/100000,""))</f>
        <v>32.200629999999997</v>
      </c>
      <c r="H322" s="220">
        <f>IF(OR(B322="",C322=""),"",IFERROR(INDEX(Vöruskrá!K:K,MATCH(B322,Vöruskrá!B:B,0))*C322/100000,""))</f>
        <v>4.1819000000000002E-2</v>
      </c>
      <c r="I322" s="220">
        <f>IF(OR(B322="",C322=""),"",IFERROR(INDEX(Vöruskrá!L:L,MATCH(B322,Vöruskrá!B:B,0))*C322/100000,""))</f>
        <v>0</v>
      </c>
      <c r="J322" s="220">
        <f>IF(OR(B322="",C322=""),"",IFERROR(INDEX(Vöruskrá!M:M,MATCH(B322,Vöruskrá!B:B,0))*C322/100000,""))</f>
        <v>7.1092300000000002</v>
      </c>
      <c r="K322" s="220">
        <f>IF(OR(B322="",C322=""),"",IFERROR(INDEX(Vöruskrá!N:N,MATCH(B322,Vöruskrá!B:B,0))*C322/100000,""))</f>
        <v>0.33455200000000002</v>
      </c>
      <c r="L322" s="220">
        <f>IF(OR(B322="",C322=""),"",IFERROR(INDEX(Vöruskrá!O:O,MATCH(B322,Vöruskrá!B:B,0))*C322/100000,""))</f>
        <v>0.83638000000000001</v>
      </c>
      <c r="M322" s="220">
        <f>IF(OR(B322="",C322=""),"",IFERROR(INDEX(Vöruskrá!P:P,MATCH(B322,Vöruskrá!B:B,0))*C322/100000,""))</f>
        <v>0</v>
      </c>
      <c r="N322" s="220">
        <f>IF(OR(B322="",C322=""),"",IFERROR(INDEX(Vöruskrá!Q:Q,MATCH(B322,Vöruskrá!B:B,0))*C322/100000,""))</f>
        <v>0.920018</v>
      </c>
      <c r="O322" s="221">
        <f>IF(OR(B322="",C322=""),"",IFERROR(C322/1000*INDEX(Vöruskrá!R:R,MATCH(B322,Vöruskrá!B:B,0))/1000,""))</f>
        <v>0</v>
      </c>
      <c r="P322" s="224"/>
      <c r="Q322" s="204"/>
      <c r="R322" s="27"/>
    </row>
    <row r="323" spans="1:18">
      <c r="A323" s="222"/>
      <c r="B323" s="222" t="s">
        <v>1010</v>
      </c>
      <c r="C323" s="223">
        <v>5227</v>
      </c>
      <c r="D323" s="219" t="str">
        <f>IF(B323="","",IFERROR(INDEX(Vöruskrá!F:F,MATCH(B323,Vöruskrá!B:B,0)),""))</f>
        <v>Laukur</v>
      </c>
      <c r="E323" s="219" t="str">
        <f>IF(B323="","",IFERROR(IF(INDEX(Vöruskrá!G:G,MATCH(B323,Vöruskrá!B:B,0))="","Engir skráðir",INDEX(Vöruskrá!G:G,MATCH(B323,Vöruskrá!B:B,0))),"Engir skráðir"))</f>
        <v>Engir skráðir</v>
      </c>
      <c r="F323" s="219">
        <f>IF(B323="","",IFERROR(INDEX(Vöruskrá!H:H,MATCH(B323,Vöruskrá!B:B,0)),""))</f>
        <v>0</v>
      </c>
      <c r="G323" s="220">
        <f>IF(OR(B323="",C323=""),"",IFERROR(INDEX(Vöruskrá!J:J,MATCH(B323,Vöruskrá!B:B,0))*C323/100000,""))</f>
        <v>2.0908000000000002</v>
      </c>
      <c r="H323" s="220">
        <f>IF(OR(B323="",C323=""),"",IFERROR(INDEX(Vöruskrá!K:K,MATCH(B323,Vöruskrá!B:B,0))*C323/100000,""))</f>
        <v>5.2270000000000007E-3</v>
      </c>
      <c r="I323" s="220">
        <f>IF(OR(B323="",C323=""),"",IFERROR(INDEX(Vöruskrá!L:L,MATCH(B323,Vöruskrá!B:B,0))*C323/100000,""))</f>
        <v>0</v>
      </c>
      <c r="J323" s="220">
        <f>IF(OR(B323="",C323=""),"",IFERROR(INDEX(Vöruskrá!M:M,MATCH(B323,Vöruskrá!B:B,0))*C323/100000,""))</f>
        <v>0.48611100000000007</v>
      </c>
      <c r="K323" s="220">
        <f>IF(OR(B323="",C323=""),"",IFERROR(INDEX(Vöruskrá!N:N,MATCH(B323,Vöruskrá!B:B,0))*C323/100000,""))</f>
        <v>0.21953400000000001</v>
      </c>
      <c r="L323" s="220">
        <f>IF(OR(B323="",C323=""),"",IFERROR(INDEX(Vöruskrá!O:O,MATCH(B323,Vöruskrá!B:B,0))*C323/100000,""))</f>
        <v>5.7497000000000006E-2</v>
      </c>
      <c r="M323" s="220">
        <f>IF(OR(B323="",C323=""),"",IFERROR(INDEX(Vöruskrá!P:P,MATCH(B323,Vöruskrá!B:B,0))*C323/100000,""))</f>
        <v>0</v>
      </c>
      <c r="N323" s="220">
        <f>IF(OR(B323="",C323=""),"",IFERROR(INDEX(Vöruskrá!Q:Q,MATCH(B323,Vöruskrá!B:B,0))*C323/100000,""))</f>
        <v>8.8858999999999994E-2</v>
      </c>
      <c r="O323" s="221">
        <f>IF(OR(B323="",C323=""),"",IFERROR(C323/1000*INDEX(Vöruskrá!R:R,MATCH(B323,Vöruskrá!B:B,0))/1000,""))</f>
        <v>0</v>
      </c>
      <c r="P323" s="222"/>
      <c r="Q323" s="205"/>
      <c r="R323" s="6"/>
    </row>
    <row r="324" spans="1:18">
      <c r="A324" s="224"/>
      <c r="B324" s="224" t="s">
        <v>445</v>
      </c>
      <c r="C324" s="225">
        <v>2614</v>
      </c>
      <c r="D324" s="219" t="str">
        <f>IF(B324="","",IFERROR(INDEX(Vöruskrá!F:F,MATCH(B324,Vöruskrá!B:B,0)),""))</f>
        <v>**Rjómi**, salt.</v>
      </c>
      <c r="E324" s="219" t="str">
        <f>IF(B324="","",IFERROR(IF(INDEX(Vöruskrá!G:G,MATCH(B324,Vöruskrá!B:B,0))="","Engir skráðir",INDEX(Vöruskrá!G:G,MATCH(B324,Vöruskrá!B:B,0))),"Engir skráðir"))</f>
        <v>Mjólk</v>
      </c>
      <c r="F324" s="219">
        <f>IF(B324="","",IFERROR(INDEX(Vöruskrá!H:H,MATCH(B324,Vöruskrá!B:B,0)),""))</f>
        <v>0</v>
      </c>
      <c r="G324" s="220">
        <f>IF(OR(B324="",C324=""),"",IFERROR(INDEX(Vöruskrá!J:J,MATCH(B324,Vöruskrá!B:B,0))*C324/100000,""))</f>
        <v>19.291319999999999</v>
      </c>
      <c r="H324" s="220">
        <f>IF(OR(B324="",C324=""),"",IFERROR(INDEX(Vöruskrá!K:K,MATCH(B324,Vöruskrá!B:B,0))*C324/100000,""))</f>
        <v>2.1434799999999998</v>
      </c>
      <c r="I324" s="220">
        <f>IF(OR(B324="",C324=""),"",IFERROR(INDEX(Vöruskrá!L:L,MATCH(B324,Vöruskrá!B:B,0))*C324/100000,""))</f>
        <v>1.2808600000000001</v>
      </c>
      <c r="J324" s="220">
        <f>IF(OR(B324="",C324=""),"",IFERROR(INDEX(Vöruskrá!M:M,MATCH(B324,Vöruskrá!B:B,0))*C324/100000,""))</f>
        <v>1.0456000000000002E-2</v>
      </c>
      <c r="K324" s="220">
        <f>IF(OR(B324="",C324=""),"",IFERROR(INDEX(Vöruskrá!N:N,MATCH(B324,Vöruskrá!B:B,0))*C324/100000,""))</f>
        <v>1.0456000000000002E-2</v>
      </c>
      <c r="L324" s="220">
        <f>IF(OR(B324="",C324=""),"",IFERROR(INDEX(Vöruskrá!O:O,MATCH(B324,Vöruskrá!B:B,0))*C324/100000,""))</f>
        <v>1.5684E-2</v>
      </c>
      <c r="M324" s="220">
        <f>IF(OR(B324="",C324=""),"",IFERROR(INDEX(Vöruskrá!P:P,MATCH(B324,Vöruskrá!B:B,0))*C324/100000,""))</f>
        <v>3.1368E-2</v>
      </c>
      <c r="N324" s="220">
        <f>IF(OR(B324="",C324=""),"",IFERROR(INDEX(Vöruskrá!Q:Q,MATCH(B324,Vöruskrá!B:B,0))*C324/100000,""))</f>
        <v>0</v>
      </c>
      <c r="O324" s="221">
        <f>IF(OR(B324="",C324=""),"",IFERROR(C324/1000*INDEX(Vöruskrá!R:R,MATCH(B324,Vöruskrá!B:B,0))/1000,""))</f>
        <v>0</v>
      </c>
      <c r="P324" s="224"/>
      <c r="Q324" s="204"/>
      <c r="R324" s="27"/>
    </row>
    <row r="325" spans="1:18">
      <c r="A325" s="222"/>
      <c r="B325" s="222" t="s">
        <v>849</v>
      </c>
      <c r="C325" s="223">
        <v>15682</v>
      </c>
      <c r="D325" s="219" t="str">
        <f>IF(B325="","",IFERROR(INDEX(Vöruskrá!F:F,MATCH(B325,Vöruskrá!B:B,0)),""))</f>
        <v>**Mjólk**. Fitusprengd og gerilsneydd.</v>
      </c>
      <c r="E325" s="219" t="str">
        <f>IF(B325="","",IFERROR(IF(INDEX(Vöruskrá!G:G,MATCH(B325,Vöruskrá!B:B,0))="","Engir skráðir",INDEX(Vöruskrá!G:G,MATCH(B325,Vöruskrá!B:B,0))),"Engir skráðir"))</f>
        <v>Mjólk</v>
      </c>
      <c r="F325" s="219">
        <f>IF(B325="","",IFERROR(INDEX(Vöruskrá!H:H,MATCH(B325,Vöruskrá!B:B,0)),""))</f>
        <v>0</v>
      </c>
      <c r="G325" s="220">
        <f>IF(OR(B325="",C325=""),"",IFERROR(INDEX(Vöruskrá!J:J,MATCH(B325,Vöruskrá!B:B,0))*C325/100000,""))</f>
        <v>10.50694</v>
      </c>
      <c r="H325" s="220">
        <f>IF(OR(B325="",C325=""),"",IFERROR(INDEX(Vöruskrá!K:K,MATCH(B325,Vöruskrá!B:B,0))*C325/100000,""))</f>
        <v>0.61159799999999997</v>
      </c>
      <c r="I325" s="220">
        <f>IF(OR(B325="",C325=""),"",IFERROR(INDEX(Vöruskrá!L:L,MATCH(B325,Vöruskrá!B:B,0))*C325/100000,""))</f>
        <v>0.36068600000000001</v>
      </c>
      <c r="J325" s="220">
        <f>IF(OR(B325="",C325=""),"",IFERROR(INDEX(Vöruskrá!M:M,MATCH(B325,Vöruskrá!B:B,0))*C325/100000,""))</f>
        <v>0.7370540000000001</v>
      </c>
      <c r="K325" s="220">
        <f>IF(OR(B325="",C325=""),"",IFERROR(INDEX(Vöruskrá!N:N,MATCH(B325,Vöruskrá!B:B,0))*C325/100000,""))</f>
        <v>0.7370540000000001</v>
      </c>
      <c r="L325" s="220">
        <f>IF(OR(B325="",C325=""),"",IFERROR(INDEX(Vöruskrá!O:O,MATCH(B325,Vöruskrá!B:B,0))*C325/100000,""))</f>
        <v>0.51750600000000002</v>
      </c>
      <c r="M325" s="220">
        <f>IF(OR(B325="",C325=""),"",IFERROR(INDEX(Vöruskrá!P:P,MATCH(B325,Vöruskrá!B:B,0))*C325/100000,""))</f>
        <v>1.5682000000000001E-2</v>
      </c>
      <c r="N325" s="220">
        <f>IF(OR(B325="",C325=""),"",IFERROR(INDEX(Vöruskrá!Q:Q,MATCH(B325,Vöruskrá!B:B,0))*C325/100000,""))</f>
        <v>0</v>
      </c>
      <c r="O325" s="221">
        <f>IF(OR(B325="",C325=""),"",IFERROR(C325/1000*INDEX(Vöruskrá!R:R,MATCH(B325,Vöruskrá!B:B,0))/1000,""))</f>
        <v>0</v>
      </c>
      <c r="P325" s="222"/>
      <c r="Q325" s="205"/>
      <c r="R325" s="6"/>
    </row>
    <row r="326" spans="1:18">
      <c r="A326" s="224"/>
      <c r="B326" s="224" t="s">
        <v>1058</v>
      </c>
      <c r="C326" s="225">
        <v>2614</v>
      </c>
      <c r="D326" s="219" t="str">
        <f>IF(B326="","",IFERROR(INDEX(Vöruskrá!F:F,MATCH(B326,Vöruskrá!B:B,0)),""))</f>
        <v>Rjómi (**mjólk**)</v>
      </c>
      <c r="E326" s="219" t="str">
        <f>IF(B326="","",IFERROR(IF(INDEX(Vöruskrá!G:G,MATCH(B326,Vöruskrá!B:B,0))="","Engir skráðir",INDEX(Vöruskrá!G:G,MATCH(B326,Vöruskrá!B:B,0))),"Engir skráðir"))</f>
        <v>Mjólk</v>
      </c>
      <c r="F326" s="219">
        <f>IF(B326="","",IFERROR(INDEX(Vöruskrá!H:H,MATCH(B326,Vöruskrá!B:B,0)),""))</f>
        <v>0</v>
      </c>
      <c r="G326" s="220">
        <f>IF(OR(B326="",C326=""),"",IFERROR(INDEX(Vöruskrá!J:J,MATCH(B326,Vöruskrá!B:B,0))*C326/100000,""))</f>
        <v>8.8876000000000008</v>
      </c>
      <c r="H326" s="220">
        <f>IF(OR(B326="",C326=""),"",IFERROR(INDEX(Vöruskrá!K:K,MATCH(B326,Vöruskrá!B:B,0))*C326/100000,""))</f>
        <v>0.91490000000000005</v>
      </c>
      <c r="I326" s="220">
        <f>IF(OR(B326="",C326=""),"",IFERROR(INDEX(Vöruskrá!L:L,MATCH(B326,Vöruskrá!B:B,0))*C326/100000,""))</f>
        <v>0.57508000000000004</v>
      </c>
      <c r="J326" s="220">
        <f>IF(OR(B326="",C326=""),"",IFERROR(INDEX(Vöruskrá!M:M,MATCH(B326,Vöruskrá!B:B,0))*C326/100000,""))</f>
        <v>7.8420000000000004E-2</v>
      </c>
      <c r="K326" s="220">
        <f>IF(OR(B326="",C326=""),"",IFERROR(INDEX(Vöruskrá!N:N,MATCH(B326,Vöruskrá!B:B,0))*C326/100000,""))</f>
        <v>7.8420000000000004E-2</v>
      </c>
      <c r="L326" s="220">
        <f>IF(OR(B326="",C326=""),"",IFERROR(INDEX(Vöruskrá!O:O,MATCH(B326,Vöruskrá!B:B,0))*C326/100000,""))</f>
        <v>6.5350000000000005E-2</v>
      </c>
      <c r="M326" s="220">
        <f>IF(OR(B326="",C326=""),"",IFERROR(INDEX(Vöruskrá!P:P,MATCH(B326,Vöruskrá!B:B,0))*C326/100000,""))</f>
        <v>0</v>
      </c>
      <c r="N326" s="220">
        <f>IF(OR(B326="",C326=""),"",IFERROR(INDEX(Vöruskrá!Q:Q,MATCH(B326,Vöruskrá!B:B,0))*C326/100000,""))</f>
        <v>0</v>
      </c>
      <c r="O326" s="221">
        <f>IF(OR(B326="",C326=""),"",IFERROR(C326/1000*INDEX(Vöruskrá!R:R,MATCH(B326,Vöruskrá!B:B,0))/1000,""))</f>
        <v>0</v>
      </c>
      <c r="P326" s="224"/>
      <c r="Q326" s="204"/>
      <c r="R326" s="27"/>
    </row>
    <row r="327" spans="1:18">
      <c r="A327" s="222"/>
      <c r="B327" s="222" t="s">
        <v>299</v>
      </c>
      <c r="C327" s="223">
        <v>523</v>
      </c>
      <c r="D327" s="219" t="str">
        <f>IF(B327="","",IFERROR(INDEX(Vöruskrá!F:F,MATCH(B327,Vöruskrá!B:B,0)),""))</f>
        <v>Salt (salt, kekkjavarnarefni E535, lyftiefni E500).</v>
      </c>
      <c r="E327" s="219" t="str">
        <f>IF(B327="","",IFERROR(IF(INDEX(Vöruskrá!G:G,MATCH(B327,Vöruskrá!B:B,0))="","Engir skráðir",INDEX(Vöruskrá!G:G,MATCH(B327,Vöruskrá!B:B,0))),"Engir skráðir"))</f>
        <v>Engir skráðir</v>
      </c>
      <c r="F327" s="219" t="str">
        <f>IF(B327="","",IFERROR(INDEX(Vöruskrá!H:H,MATCH(B327,Vöruskrá!B:B,0)),""))</f>
        <v>Framleitt á svæði þar sem unnið er með mjólk, glúten, egg, sesam, sellerí, soja og sinnep.</v>
      </c>
      <c r="G327" s="220">
        <f>IF(OR(B327="",C327=""),"",IFERROR(INDEX(Vöruskrá!J:J,MATCH(B327,Vöruskrá!B:B,0))*C327/100000,""))</f>
        <v>0</v>
      </c>
      <c r="H327" s="220">
        <f>IF(OR(B327="",C327=""),"",IFERROR(INDEX(Vöruskrá!K:K,MATCH(B327,Vöruskrá!B:B,0))*C327/100000,""))</f>
        <v>0</v>
      </c>
      <c r="I327" s="220">
        <f>IF(OR(B327="",C327=""),"",IFERROR(INDEX(Vöruskrá!L:L,MATCH(B327,Vöruskrá!B:B,0))*C327/100000,""))</f>
        <v>0</v>
      </c>
      <c r="J327" s="220">
        <f>IF(OR(B327="",C327=""),"",IFERROR(INDEX(Vöruskrá!M:M,MATCH(B327,Vöruskrá!B:B,0))*C327/100000,""))</f>
        <v>0</v>
      </c>
      <c r="K327" s="220">
        <f>IF(OR(B327="",C327=""),"",IFERROR(INDEX(Vöruskrá!N:N,MATCH(B327,Vöruskrá!B:B,0))*C327/100000,""))</f>
        <v>0</v>
      </c>
      <c r="L327" s="220">
        <f>IF(OR(B327="",C327=""),"",IFERROR(INDEX(Vöruskrá!O:O,MATCH(B327,Vöruskrá!B:B,0))*C327/100000,""))</f>
        <v>0</v>
      </c>
      <c r="M327" s="220">
        <f>IF(OR(B327="",C327=""),"",IFERROR(INDEX(Vöruskrá!P:P,MATCH(B327,Vöruskrá!B:B,0))*C327/100000,""))</f>
        <v>0.52300000000000002</v>
      </c>
      <c r="N327" s="220">
        <f>IF(OR(B327="",C327=""),"",IFERROR(INDEX(Vöruskrá!Q:Q,MATCH(B327,Vöruskrá!B:B,0))*C327/100000,""))</f>
        <v>0</v>
      </c>
      <c r="O327" s="221">
        <f>IF(OR(B327="",C327=""),"",IFERROR(C327/1000*INDEX(Vöruskrá!R:R,MATCH(B327,Vöruskrá!B:B,0))/1000,""))</f>
        <v>0</v>
      </c>
      <c r="P327" s="222"/>
      <c r="Q327" s="205"/>
      <c r="R327" s="6"/>
    </row>
    <row r="328" spans="1:18">
      <c r="A328" s="224"/>
      <c r="B328" s="224" t="s">
        <v>819</v>
      </c>
      <c r="C328" s="225">
        <v>157</v>
      </c>
      <c r="D328" s="219" t="str">
        <f>IF(B328="","",IFERROR(INDEX(Vöruskrá!F:F,MATCH(B328,Vöruskrá!B:B,0)),""))</f>
        <v>Svartur pipar 100% (Piper nigrum), hitaþurrkað.</v>
      </c>
      <c r="E328" s="219" t="str">
        <f>IF(B328="","",IFERROR(IF(INDEX(Vöruskrá!G:G,MATCH(B328,Vöruskrá!B:B,0))="","Engir skráðir",INDEX(Vöruskrá!G:G,MATCH(B328,Vöruskrá!B:B,0))),"Engir skráðir"))</f>
        <v>Engir skráðir</v>
      </c>
      <c r="F328" s="219" t="str">
        <f>IF(B328="","",IFERROR(INDEX(Vöruskrá!H:H,MATCH(B328,Vöruskrá!B:B,0)),""))</f>
        <v>Framleitt á svæði þar sem unnið er með glúten, fisk, krabbadýr, lindýr, mjólk, soja, sellerí, sinnep og sesam.</v>
      </c>
      <c r="G328" s="220">
        <f>IF(OR(B328="",C328=""),"",IFERROR(INDEX(Vöruskrá!J:J,MATCH(B328,Vöruskrá!B:B,0))*C328/100000,""))</f>
        <v>0.60602</v>
      </c>
      <c r="H328" s="220">
        <f>IF(OR(B328="",C328=""),"",IFERROR(INDEX(Vöruskrá!K:K,MATCH(B328,Vöruskrá!B:B,0))*C328/100000,""))</f>
        <v>5.1809999999999998E-3</v>
      </c>
      <c r="I328" s="220">
        <f>IF(OR(B328="",C328=""),"",IFERROR(INDEX(Vöruskrá!L:L,MATCH(B328,Vöruskrá!B:B,0))*C328/100000,""))</f>
        <v>1.57E-3</v>
      </c>
      <c r="J328" s="220">
        <f>IF(OR(B328="",C328=""),"",IFERROR(INDEX(Vöruskrá!M:M,MATCH(B328,Vöruskrá!B:B,0))*C328/100000,""))</f>
        <v>0.10205</v>
      </c>
      <c r="K328" s="220">
        <f>IF(OR(B328="",C328=""),"",IFERROR(INDEX(Vöruskrá!N:N,MATCH(B328,Vöruskrá!B:B,0))*C328/100000,""))</f>
        <v>9.4200000000000002E-4</v>
      </c>
      <c r="L328" s="220">
        <f>IF(OR(B328="",C328=""),"",IFERROR(INDEX(Vöruskrá!O:O,MATCH(B328,Vöruskrá!B:B,0))*C328/100000,""))</f>
        <v>1.7270000000000001E-2</v>
      </c>
      <c r="M328" s="220">
        <f>IF(OR(B328="",C328=""),"",IFERROR(INDEX(Vöruskrá!P:P,MATCH(B328,Vöruskrá!B:B,0))*C328/100000,""))</f>
        <v>1.5700000000000002E-4</v>
      </c>
      <c r="N328" s="220">
        <f>IF(OR(B328="",C328=""),"",IFERROR(INDEX(Vöruskrá!Q:Q,MATCH(B328,Vöruskrá!B:B,0))*C328/100000,""))</f>
        <v>0</v>
      </c>
      <c r="O328" s="221">
        <f>IF(OR(B328="",C328=""),"",IFERROR(C328/1000*INDEX(Vöruskrá!R:R,MATCH(B328,Vöruskrá!B:B,0))/1000,""))</f>
        <v>0</v>
      </c>
      <c r="P328" s="224"/>
      <c r="Q328" s="204"/>
      <c r="R328" s="27"/>
    </row>
    <row r="329" spans="1:18" ht="26">
      <c r="A329" s="176" t="s">
        <v>3710</v>
      </c>
      <c r="B329" s="176"/>
      <c r="C329" s="177"/>
      <c r="D329" s="216" t="str">
        <f>_xlfn.TEXTJOIN(" | ",TRUE,D330:D332)</f>
        <v>Fiskur63% (**þorskur**, **ýsa**), vatn, repjuolía, laukur, kartöflusterkja, salt, sýrustillir E451, krydd (papríka, negull,engifer). | **Rjómi**, salt. | Salt (salt, kekkjavarnarefni E535, lyftiefni E500).</v>
      </c>
      <c r="E329" s="216" t="str" cm="1">
        <f t="array" ref="E329">IFERROR(_xlfn.TEXTJOIN(", ",TRUE,_xlfn.UNIQUE(_xlfn._xlws.FILTER(E330:E332,(E330:E332&lt;&gt;"Engir skráðir")*(E330:E332&lt;&gt;"")))),"Engir skráðir")</f>
        <v>Fiskur, Mjólk</v>
      </c>
      <c r="F329" s="216"/>
      <c r="G329" s="217">
        <f>IFERROR(SUM(G330:G332)/(SUM($C$330:$C$332)/100000),"")</f>
        <v>198.20555999999999</v>
      </c>
      <c r="H329" s="217">
        <f>IFERROR(SUM(H330:H332)/(SUM($C$330:$C$332)/100000),"")</f>
        <v>13.00516</v>
      </c>
      <c r="I329" s="217">
        <f>IFERROR(SUM(I330:I332)/(SUM($C$330:$C$332)/100000),"")</f>
        <v>2.4833080000000001</v>
      </c>
      <c r="J329" s="217">
        <f>IFERROR(SUM(J330:J332)/(SUM($C$330:$C$332)/100000),"")</f>
        <v>7.6444180000000008</v>
      </c>
      <c r="K329" s="217">
        <f>IFERROR(SUM(K330:K332)/(SUM($C$330:$C$332)/100000),"")</f>
        <v>2.0405740000000003</v>
      </c>
      <c r="L329" s="217">
        <f>IFERROR(SUM(L330:L332)/(SUM($C$330:$C$332)/100000),"")</f>
        <v>12.577734</v>
      </c>
      <c r="M329" s="217">
        <f>IFERROR(SUM(M330:M332)/(SUM($C$330:$C$332)/100000),"")</f>
        <v>2.8366199999999999</v>
      </c>
      <c r="N329" s="217">
        <f>IFERROR(SUM(N330:N332)/(SUM($C$330:$C$332)/100000),"")</f>
        <v>0.289854</v>
      </c>
      <c r="O329" s="218" t="str">
        <f>IF(OR(B329="",C329=""),"",IFERROR(C329/1000*INDEX(Vöruskrá!R:R,MATCH(B329,Vöruskrá!B:B,0))/1000,""))</f>
        <v/>
      </c>
      <c r="P329" s="176" t="s">
        <v>3711</v>
      </c>
      <c r="Q329" s="205"/>
      <c r="R329" s="6"/>
    </row>
    <row r="330" spans="1:18">
      <c r="A330" s="222"/>
      <c r="B330" s="222" t="s">
        <v>1296</v>
      </c>
      <c r="C330" s="223">
        <v>96618</v>
      </c>
      <c r="D330" s="219" t="str">
        <f>IF(B330="","",IFERROR(INDEX(Vöruskrá!F:F,MATCH(B330,Vöruskrá!B:B,0)),""))</f>
        <v>Fiskur63% (**þorskur**, **ýsa**), vatn, repjuolía, laukur, kartöflusterkja, salt, sýrustillir E451, krydd (papríka, negull,engifer).</v>
      </c>
      <c r="E330" s="219" t="str">
        <f>IF(B330="","",IFERROR(IF(INDEX(Vöruskrá!G:G,MATCH(B330,Vöruskrá!B:B,0))="","Engir skráðir",INDEX(Vöruskrá!G:G,MATCH(B330,Vöruskrá!B:B,0))),"Engir skráðir"))</f>
        <v>Fiskur</v>
      </c>
      <c r="F330" s="219">
        <f>IF(B330="","",IFERROR(INDEX(Vöruskrá!H:H,MATCH(B330,Vöruskrá!B:B,0)),""))</f>
        <v>0</v>
      </c>
      <c r="G330" s="220">
        <f>IF(OR(B330="",C330=""),"",IFERROR(INDEX(Vöruskrá!J:J,MATCH(B330,Vöruskrá!B:B,0))*C330/100000,""))</f>
        <v>176.81093999999999</v>
      </c>
      <c r="H330" s="220">
        <f>IF(OR(B330="",C330=""),"",IFERROR(INDEX(Vöruskrá!K:K,MATCH(B330,Vöruskrá!B:B,0))*C330/100000,""))</f>
        <v>10.627980000000001</v>
      </c>
      <c r="I330" s="220">
        <f>IF(OR(B330="",C330=""),"",IFERROR(INDEX(Vöruskrá!L:L,MATCH(B330,Vöruskrá!B:B,0))*C330/100000,""))</f>
        <v>1.0627980000000001</v>
      </c>
      <c r="J330" s="220">
        <f>IF(OR(B330="",C330=""),"",IFERROR(INDEX(Vöruskrá!M:M,MATCH(B330,Vöruskrá!B:B,0))*C330/100000,""))</f>
        <v>7.6328220000000009</v>
      </c>
      <c r="K330" s="220">
        <f>IF(OR(B330="",C330=""),"",IFERROR(INDEX(Vöruskrá!N:N,MATCH(B330,Vöruskrá!B:B,0))*C330/100000,""))</f>
        <v>2.0289780000000004</v>
      </c>
      <c r="L330" s="220">
        <f>IF(OR(B330="",C330=""),"",IFERROR(INDEX(Vöruskrá!O:O,MATCH(B330,Vöruskrá!B:B,0))*C330/100000,""))</f>
        <v>12.56034</v>
      </c>
      <c r="M330" s="220">
        <f>IF(OR(B330="",C330=""),"",IFERROR(INDEX(Vöruskrá!P:P,MATCH(B330,Vöruskrá!B:B,0))*C330/100000,""))</f>
        <v>2.318832</v>
      </c>
      <c r="N330" s="220">
        <f>IF(OR(B330="",C330=""),"",IFERROR(INDEX(Vöruskrá!Q:Q,MATCH(B330,Vöruskrá!B:B,0))*C330/100000,""))</f>
        <v>0.289854</v>
      </c>
      <c r="O330" s="221">
        <f>IF(OR(B330="",C330=""),"",IFERROR(C330/1000*INDEX(Vöruskrá!R:R,MATCH(B330,Vöruskrá!B:B,0))/1000,""))</f>
        <v>0</v>
      </c>
      <c r="P330" s="222"/>
      <c r="Q330" s="204"/>
      <c r="R330" s="27"/>
    </row>
    <row r="331" spans="1:18">
      <c r="A331" s="224"/>
      <c r="B331" s="224" t="s">
        <v>445</v>
      </c>
      <c r="C331" s="225">
        <v>2899</v>
      </c>
      <c r="D331" s="219" t="str">
        <f>IF(B331="","",IFERROR(INDEX(Vöruskrá!F:F,MATCH(B331,Vöruskrá!B:B,0)),""))</f>
        <v>**Rjómi**, salt.</v>
      </c>
      <c r="E331" s="219" t="str">
        <f>IF(B331="","",IFERROR(IF(INDEX(Vöruskrá!G:G,MATCH(B331,Vöruskrá!B:B,0))="","Engir skráðir",INDEX(Vöruskrá!G:G,MATCH(B331,Vöruskrá!B:B,0))),"Engir skráðir"))</f>
        <v>Mjólk</v>
      </c>
      <c r="F331" s="219">
        <f>IF(B331="","",IFERROR(INDEX(Vöruskrá!H:H,MATCH(B331,Vöruskrá!B:B,0)),""))</f>
        <v>0</v>
      </c>
      <c r="G331" s="220">
        <f>IF(OR(B331="",C331=""),"",IFERROR(INDEX(Vöruskrá!J:J,MATCH(B331,Vöruskrá!B:B,0))*C331/100000,""))</f>
        <v>21.39462</v>
      </c>
      <c r="H331" s="220">
        <f>IF(OR(B331="",C331=""),"",IFERROR(INDEX(Vöruskrá!K:K,MATCH(B331,Vöruskrá!B:B,0))*C331/100000,""))</f>
        <v>2.3771800000000001</v>
      </c>
      <c r="I331" s="220">
        <f>IF(OR(B331="",C331=""),"",IFERROR(INDEX(Vöruskrá!L:L,MATCH(B331,Vöruskrá!B:B,0))*C331/100000,""))</f>
        <v>1.4205099999999999</v>
      </c>
      <c r="J331" s="220">
        <f>IF(OR(B331="",C331=""),"",IFERROR(INDEX(Vöruskrá!M:M,MATCH(B331,Vöruskrá!B:B,0))*C331/100000,""))</f>
        <v>1.1596000000000002E-2</v>
      </c>
      <c r="K331" s="220">
        <f>IF(OR(B331="",C331=""),"",IFERROR(INDEX(Vöruskrá!N:N,MATCH(B331,Vöruskrá!B:B,0))*C331/100000,""))</f>
        <v>1.1596000000000002E-2</v>
      </c>
      <c r="L331" s="220">
        <f>IF(OR(B331="",C331=""),"",IFERROR(INDEX(Vöruskrá!O:O,MATCH(B331,Vöruskrá!B:B,0))*C331/100000,""))</f>
        <v>1.7394E-2</v>
      </c>
      <c r="M331" s="220">
        <f>IF(OR(B331="",C331=""),"",IFERROR(INDEX(Vöruskrá!P:P,MATCH(B331,Vöruskrá!B:B,0))*C331/100000,""))</f>
        <v>3.4787999999999999E-2</v>
      </c>
      <c r="N331" s="220">
        <f>IF(OR(B331="",C331=""),"",IFERROR(INDEX(Vöruskrá!Q:Q,MATCH(B331,Vöruskrá!B:B,0))*C331/100000,""))</f>
        <v>0</v>
      </c>
      <c r="O331" s="221">
        <f>IF(OR(B331="",C331=""),"",IFERROR(C331/1000*INDEX(Vöruskrá!R:R,MATCH(B331,Vöruskrá!B:B,0))/1000,""))</f>
        <v>0</v>
      </c>
      <c r="P331" s="224"/>
      <c r="Q331" s="205"/>
      <c r="R331" s="6"/>
    </row>
    <row r="332" spans="1:18">
      <c r="A332" s="222"/>
      <c r="B332" s="222" t="s">
        <v>299</v>
      </c>
      <c r="C332" s="223">
        <v>483</v>
      </c>
      <c r="D332" s="219" t="str">
        <f>IF(B332="","",IFERROR(INDEX(Vöruskrá!F:F,MATCH(B332,Vöruskrá!B:B,0)),""))</f>
        <v>Salt (salt, kekkjavarnarefni E535, lyftiefni E500).</v>
      </c>
      <c r="E332" s="219" t="str">
        <f>IF(B332="","",IFERROR(IF(INDEX(Vöruskrá!G:G,MATCH(B332,Vöruskrá!B:B,0))="","Engir skráðir",INDEX(Vöruskrá!G:G,MATCH(B332,Vöruskrá!B:B,0))),"Engir skráðir"))</f>
        <v>Engir skráðir</v>
      </c>
      <c r="F332" s="219" t="str">
        <f>IF(B332="","",IFERROR(INDEX(Vöruskrá!H:H,MATCH(B332,Vöruskrá!B:B,0)),""))</f>
        <v>Framleitt á svæði þar sem unnið er með mjólk, glúten, egg, sesam, sellerí, soja og sinnep.</v>
      </c>
      <c r="G332" s="220">
        <f>IF(OR(B332="",C332=""),"",IFERROR(INDEX(Vöruskrá!J:J,MATCH(B332,Vöruskrá!B:B,0))*C332/100000,""))</f>
        <v>0</v>
      </c>
      <c r="H332" s="220">
        <f>IF(OR(B332="",C332=""),"",IFERROR(INDEX(Vöruskrá!K:K,MATCH(B332,Vöruskrá!B:B,0))*C332/100000,""))</f>
        <v>0</v>
      </c>
      <c r="I332" s="220">
        <f>IF(OR(B332="",C332=""),"",IFERROR(INDEX(Vöruskrá!L:L,MATCH(B332,Vöruskrá!B:B,0))*C332/100000,""))</f>
        <v>0</v>
      </c>
      <c r="J332" s="220">
        <f>IF(OR(B332="",C332=""),"",IFERROR(INDEX(Vöruskrá!M:M,MATCH(B332,Vöruskrá!B:B,0))*C332/100000,""))</f>
        <v>0</v>
      </c>
      <c r="K332" s="220">
        <f>IF(OR(B332="",C332=""),"",IFERROR(INDEX(Vöruskrá!N:N,MATCH(B332,Vöruskrá!B:B,0))*C332/100000,""))</f>
        <v>0</v>
      </c>
      <c r="L332" s="220">
        <f>IF(OR(B332="",C332=""),"",IFERROR(INDEX(Vöruskrá!O:O,MATCH(B332,Vöruskrá!B:B,0))*C332/100000,""))</f>
        <v>0</v>
      </c>
      <c r="M332" s="220">
        <f>IF(OR(B332="",C332=""),"",IFERROR(INDEX(Vöruskrá!P:P,MATCH(B332,Vöruskrá!B:B,0))*C332/100000,""))</f>
        <v>0.48299999999999998</v>
      </c>
      <c r="N332" s="220">
        <f>IF(OR(B332="",C332=""),"",IFERROR(INDEX(Vöruskrá!Q:Q,MATCH(B332,Vöruskrá!B:B,0))*C332/100000,""))</f>
        <v>0</v>
      </c>
      <c r="O332" s="221">
        <f>IF(OR(B332="",C332=""),"",IFERROR(C332/1000*INDEX(Vöruskrá!R:R,MATCH(B332,Vöruskrá!B:B,0))/1000,""))</f>
        <v>0</v>
      </c>
      <c r="P332" s="222"/>
      <c r="Q332" s="204"/>
      <c r="R332" s="27"/>
    </row>
    <row r="333" spans="1:18" ht="26">
      <c r="A333" s="176" t="s">
        <v>3712</v>
      </c>
      <c r="B333" s="176"/>
      <c r="C333" s="177"/>
      <c r="D333" s="216" t="str">
        <f>_xlfn.TEXTJOIN(" | ",TRUE,D334:D340)</f>
        <v>Ýsa | 0 | 0 | 0 | Salt (salt, kekkjavarnarefni E535, lyftiefni E500). | Svartur pipar 100% (Piper nigrum), hitaþurrkað. | Repjuolía</v>
      </c>
      <c r="E333" s="216" t="str" cm="1">
        <f t="array" ref="E333">IFERROR(_xlfn.TEXTJOIN(", ",TRUE,_xlfn.UNIQUE(_xlfn._xlws.FILTER(E334:E340,(E334:E340&lt;&gt;"Engir skráðir")*(E334:E340&lt;&gt;"")))),"Engir skráðir")</f>
        <v>Fiskur</v>
      </c>
      <c r="F333" s="216"/>
      <c r="G333" s="217">
        <f>IFERROR(SUM(G334:G340)/(SUM($C$334:$C$340)/100000),"")</f>
        <v>113.6371236287637</v>
      </c>
      <c r="H333" s="217">
        <f>IFERROR(SUM(H334:H340)/(SUM($C$334:$C$340)/100000),"")</f>
        <v>4.4327236727632719</v>
      </c>
      <c r="I333" s="217">
        <f>IFERROR(SUM(I334:I340)/(SUM($C$334:$C$340)/100000),"")</f>
        <v>0.3521014789852101</v>
      </c>
      <c r="J333" s="217">
        <f>IFERROR(SUM(J334:J340)/(SUM($C$334:$C$340)/100000),"")</f>
        <v>2.7111228887711118</v>
      </c>
      <c r="K333" s="217">
        <f>IFERROR(SUM(K334:K340)/(SUM($C$334:$C$340)/100000),"")</f>
        <v>1.0687353126468735</v>
      </c>
      <c r="L333" s="217">
        <f>IFERROR(SUM(L334:L340)/(SUM($C$334:$C$340)/100000),"")</f>
        <v>17.878681213187868</v>
      </c>
      <c r="M333" s="217">
        <f>IFERROR(SUM(M334:M340)/(SUM($C$334:$C$340)/100000),"")</f>
        <v>1.0090659093409067</v>
      </c>
      <c r="N333" s="217">
        <f>IFERROR(SUM(N334:N340)/(SUM($C$334:$C$340)/100000),"")</f>
        <v>0</v>
      </c>
      <c r="O333" s="218" t="str">
        <f>IF(OR(B333="",C333=""),"",IFERROR(C333/1000*INDEX(Vöruskrá!R:R,MATCH(B333,Vöruskrá!B:B,0))/1000,""))</f>
        <v/>
      </c>
      <c r="P333" s="176" t="s">
        <v>3713</v>
      </c>
      <c r="Q333" s="205"/>
      <c r="R333" s="6"/>
    </row>
    <row r="334" spans="1:18">
      <c r="A334" s="222"/>
      <c r="B334" s="222" t="s">
        <v>926</v>
      </c>
      <c r="C334" s="223">
        <v>77595</v>
      </c>
      <c r="D334" s="219" t="str">
        <f>IF(B334="","",IFERROR(INDEX(Vöruskrá!F:F,MATCH(B334,Vöruskrá!B:B,0)),""))</f>
        <v>Ýsa</v>
      </c>
      <c r="E334" s="219" t="str">
        <f>IF(B334="","",IFERROR(IF(INDEX(Vöruskrá!G:G,MATCH(B334,Vöruskrá!B:B,0))="","Engir skráðir",INDEX(Vöruskrá!G:G,MATCH(B334,Vöruskrá!B:B,0))),"Engir skráðir"))</f>
        <v>Fiskur</v>
      </c>
      <c r="F334" s="219">
        <f>IF(B334="","",IFERROR(INDEX(Vöruskrá!H:H,MATCH(B334,Vöruskrá!B:B,0)),""))</f>
        <v>0</v>
      </c>
      <c r="G334" s="220">
        <f>IF(OR(B334="",C334=""),"",IFERROR(INDEX(Vöruskrá!J:J,MATCH(B334,Vöruskrá!B:B,0))*C334/100000,""))</f>
        <v>77.594999999999999</v>
      </c>
      <c r="H334" s="220">
        <f>IF(OR(B334="",C334=""),"",IFERROR(INDEX(Vöruskrá!K:K,MATCH(B334,Vöruskrá!B:B,0))*C334/100000,""))</f>
        <v>0.54316500000000001</v>
      </c>
      <c r="I334" s="220">
        <f>IF(OR(B334="",C334=""),"",IFERROR(INDEX(Vöruskrá!L:L,MATCH(B334,Vöruskrá!B:B,0))*C334/100000,""))</f>
        <v>7.7594999999999997E-2</v>
      </c>
      <c r="J334" s="220">
        <f>IF(OR(B334="",C334=""),"",IFERROR(INDEX(Vöruskrá!M:M,MATCH(B334,Vöruskrá!B:B,0))*C334/100000,""))</f>
        <v>0</v>
      </c>
      <c r="K334" s="220">
        <f>IF(OR(B334="",C334=""),"",IFERROR(INDEX(Vöruskrá!N:N,MATCH(B334,Vöruskrá!B:B,0))*C334/100000,""))</f>
        <v>0</v>
      </c>
      <c r="L334" s="220">
        <f>IF(OR(B334="",C334=""),"",IFERROR(INDEX(Vöruskrá!O:O,MATCH(B334,Vöruskrá!B:B,0))*C334/100000,""))</f>
        <v>17.84685</v>
      </c>
      <c r="M334" s="220">
        <f>IF(OR(B334="",C334=""),"",IFERROR(INDEX(Vöruskrá!P:P,MATCH(B334,Vöruskrá!B:B,0))*C334/100000,""))</f>
        <v>0.23278499999999999</v>
      </c>
      <c r="N334" s="220">
        <f>IF(OR(B334="",C334=""),"",IFERROR(INDEX(Vöruskrá!Q:Q,MATCH(B334,Vöruskrá!B:B,0))*C334/100000,""))</f>
        <v>0</v>
      </c>
      <c r="O334" s="221">
        <f>IF(OR(B334="",C334=""),"",IFERROR(C334/1000*INDEX(Vöruskrá!R:R,MATCH(B334,Vöruskrá!B:B,0))/1000,""))</f>
        <v>0</v>
      </c>
      <c r="P334" s="222"/>
      <c r="Q334" s="204"/>
      <c r="R334" s="27"/>
    </row>
    <row r="335" spans="1:18">
      <c r="A335" s="224"/>
      <c r="B335" s="224" t="s">
        <v>3641</v>
      </c>
      <c r="C335" s="225">
        <v>9699</v>
      </c>
      <c r="D335" s="219">
        <f>IF(B335="","",IFERROR(INDEX(Vöruskrá!F:F,MATCH(B335,Vöruskrá!B:B,0)),""))</f>
        <v>0</v>
      </c>
      <c r="E335" s="219" t="str">
        <f>IF(B335="","",IFERROR(IF(INDEX(Vöruskrá!G:G,MATCH(B335,Vöruskrá!B:B,0))="","Engir skráðir",INDEX(Vöruskrá!G:G,MATCH(B335,Vöruskrá!B:B,0))),"Engir skráðir"))</f>
        <v>Engir skráðir</v>
      </c>
      <c r="F335" s="219">
        <f>IF(B335="","",IFERROR(INDEX(Vöruskrá!H:H,MATCH(B335,Vöruskrá!B:B,0)),""))</f>
        <v>0</v>
      </c>
      <c r="G335" s="220">
        <f>IF(OR(B335="",C335=""),"",IFERROR(INDEX(Vöruskrá!J:J,MATCH(B335,Vöruskrá!B:B,0))*C335/100000,""))</f>
        <v>0</v>
      </c>
      <c r="H335" s="220">
        <f>IF(OR(B335="",C335=""),"",IFERROR(INDEX(Vöruskrá!K:K,MATCH(B335,Vöruskrá!B:B,0))*C335/100000,""))</f>
        <v>0</v>
      </c>
      <c r="I335" s="220">
        <f>IF(OR(B335="",C335=""),"",IFERROR(INDEX(Vöruskrá!L:L,MATCH(B335,Vöruskrá!B:B,0))*C335/100000,""))</f>
        <v>0</v>
      </c>
      <c r="J335" s="220">
        <f>IF(OR(B335="",C335=""),"",IFERROR(INDEX(Vöruskrá!M:M,MATCH(B335,Vöruskrá!B:B,0))*C335/100000,""))</f>
        <v>0</v>
      </c>
      <c r="K335" s="220">
        <f>IF(OR(B335="",C335=""),"",IFERROR(INDEX(Vöruskrá!N:N,MATCH(B335,Vöruskrá!B:B,0))*C335/100000,""))</f>
        <v>0</v>
      </c>
      <c r="L335" s="220">
        <f>IF(OR(B335="",C335=""),"",IFERROR(INDEX(Vöruskrá!O:O,MATCH(B335,Vöruskrá!B:B,0))*C335/100000,""))</f>
        <v>0</v>
      </c>
      <c r="M335" s="220">
        <f>IF(OR(B335="",C335=""),"",IFERROR(INDEX(Vöruskrá!P:P,MATCH(B335,Vöruskrá!B:B,0))*C335/100000,""))</f>
        <v>0</v>
      </c>
      <c r="N335" s="220">
        <f>IF(OR(B335="",C335=""),"",IFERROR(INDEX(Vöruskrá!Q:Q,MATCH(B335,Vöruskrá!B:B,0))*C335/100000,""))</f>
        <v>0</v>
      </c>
      <c r="O335" s="221">
        <f>IF(OR(B335="",C335=""),"",IFERROR(C335/1000*INDEX(Vöruskrá!R:R,MATCH(B335,Vöruskrá!B:B,0))/1000,""))</f>
        <v>0</v>
      </c>
      <c r="P335" s="224"/>
      <c r="Q335" s="205"/>
      <c r="R335" s="6"/>
    </row>
    <row r="336" spans="1:18">
      <c r="A336" s="222"/>
      <c r="B336" s="222" t="s">
        <v>2420</v>
      </c>
      <c r="C336" s="223">
        <v>4850</v>
      </c>
      <c r="D336" s="219">
        <f>IF(B336="","",IFERROR(INDEX(Vöruskrá!F:F,MATCH(B336,Vöruskrá!B:B,0)),""))</f>
        <v>0</v>
      </c>
      <c r="E336" s="219" t="str">
        <f>IF(B336="","",IFERROR(IF(INDEX(Vöruskrá!G:G,MATCH(B336,Vöruskrá!B:B,0))="","Engir skráðir",INDEX(Vöruskrá!G:G,MATCH(B336,Vöruskrá!B:B,0))),"Engir skráðir"))</f>
        <v>Engir skráðir</v>
      </c>
      <c r="F336" s="219">
        <f>IF(B336="","",IFERROR(INDEX(Vöruskrá!H:H,MATCH(B336,Vöruskrá!B:B,0)),""))</f>
        <v>0</v>
      </c>
      <c r="G336" s="220">
        <f>IF(OR(B336="",C336=""),"",IFERROR(INDEX(Vöruskrá!J:J,MATCH(B336,Vöruskrá!B:B,0))*C336/100000,""))</f>
        <v>0</v>
      </c>
      <c r="H336" s="220">
        <f>IF(OR(B336="",C336=""),"",IFERROR(INDEX(Vöruskrá!K:K,MATCH(B336,Vöruskrá!B:B,0))*C336/100000,""))</f>
        <v>0</v>
      </c>
      <c r="I336" s="220">
        <f>IF(OR(B336="",C336=""),"",IFERROR(INDEX(Vöruskrá!L:L,MATCH(B336,Vöruskrá!B:B,0))*C336/100000,""))</f>
        <v>0</v>
      </c>
      <c r="J336" s="220">
        <f>IF(OR(B336="",C336=""),"",IFERROR(INDEX(Vöruskrá!M:M,MATCH(B336,Vöruskrá!B:B,0))*C336/100000,""))</f>
        <v>0</v>
      </c>
      <c r="K336" s="220">
        <f>IF(OR(B336="",C336=""),"",IFERROR(INDEX(Vöruskrá!N:N,MATCH(B336,Vöruskrá!B:B,0))*C336/100000,""))</f>
        <v>0</v>
      </c>
      <c r="L336" s="220">
        <f>IF(OR(B336="",C336=""),"",IFERROR(INDEX(Vöruskrá!O:O,MATCH(B336,Vöruskrá!B:B,0))*C336/100000,""))</f>
        <v>0</v>
      </c>
      <c r="M336" s="220">
        <f>IF(OR(B336="",C336=""),"",IFERROR(INDEX(Vöruskrá!P:P,MATCH(B336,Vöruskrá!B:B,0))*C336/100000,""))</f>
        <v>0</v>
      </c>
      <c r="N336" s="220">
        <f>IF(OR(B336="",C336=""),"",IFERROR(INDEX(Vöruskrá!Q:Q,MATCH(B336,Vöruskrá!B:B,0))*C336/100000,""))</f>
        <v>0</v>
      </c>
      <c r="O336" s="221">
        <f>IF(OR(B336="",C336=""),"",IFERROR(C336/1000*INDEX(Vöruskrá!R:R,MATCH(B336,Vöruskrá!B:B,0))/1000,""))</f>
        <v>0</v>
      </c>
      <c r="P336" s="222"/>
      <c r="Q336" s="204"/>
      <c r="R336" s="27"/>
    </row>
    <row r="337" spans="1:18">
      <c r="A337" s="224"/>
      <c r="B337" s="224" t="s">
        <v>3640</v>
      </c>
      <c r="C337" s="225">
        <v>2910</v>
      </c>
      <c r="D337" s="219">
        <f>IF(B337="","",IFERROR(INDEX(Vöruskrá!F:F,MATCH(B337,Vöruskrá!B:B,0)),""))</f>
        <v>0</v>
      </c>
      <c r="E337" s="219" t="str">
        <f>IF(B337="","",IFERROR(IF(INDEX(Vöruskrá!G:G,MATCH(B337,Vöruskrá!B:B,0))="","Engir skráðir",INDEX(Vöruskrá!G:G,MATCH(B337,Vöruskrá!B:B,0))),"Engir skráðir"))</f>
        <v>Engir skráðir</v>
      </c>
      <c r="F337" s="219">
        <f>IF(B337="","",IFERROR(INDEX(Vöruskrá!H:H,MATCH(B337,Vöruskrá!B:B,0)),""))</f>
        <v>0</v>
      </c>
      <c r="G337" s="220">
        <f>IF(OR(B337="",C337=""),"",IFERROR(INDEX(Vöruskrá!J:J,MATCH(B337,Vöruskrá!B:B,0))*C337/100000,""))</f>
        <v>0</v>
      </c>
      <c r="H337" s="220">
        <f>IF(OR(B337="",C337=""),"",IFERROR(INDEX(Vöruskrá!K:K,MATCH(B337,Vöruskrá!B:B,0))*C337/100000,""))</f>
        <v>0</v>
      </c>
      <c r="I337" s="220">
        <f>IF(OR(B337="",C337=""),"",IFERROR(INDEX(Vöruskrá!L:L,MATCH(B337,Vöruskrá!B:B,0))*C337/100000,""))</f>
        <v>0</v>
      </c>
      <c r="J337" s="220">
        <f>IF(OR(B337="",C337=""),"",IFERROR(INDEX(Vöruskrá!M:M,MATCH(B337,Vöruskrá!B:B,0))*C337/100000,""))</f>
        <v>0</v>
      </c>
      <c r="K337" s="220">
        <f>IF(OR(B337="",C337=""),"",IFERROR(INDEX(Vöruskrá!N:N,MATCH(B337,Vöruskrá!B:B,0))*C337/100000,""))</f>
        <v>0</v>
      </c>
      <c r="L337" s="220">
        <f>IF(OR(B337="",C337=""),"",IFERROR(INDEX(Vöruskrá!O:O,MATCH(B337,Vöruskrá!B:B,0))*C337/100000,""))</f>
        <v>0</v>
      </c>
      <c r="M337" s="220">
        <f>IF(OR(B337="",C337=""),"",IFERROR(INDEX(Vöruskrá!P:P,MATCH(B337,Vöruskrá!B:B,0))*C337/100000,""))</f>
        <v>0</v>
      </c>
      <c r="N337" s="220">
        <f>IF(OR(B337="",C337=""),"",IFERROR(INDEX(Vöruskrá!Q:Q,MATCH(B337,Vöruskrá!B:B,0))*C337/100000,""))</f>
        <v>0</v>
      </c>
      <c r="O337" s="221">
        <f>IF(OR(B337="",C337=""),"",IFERROR(C337/1000*INDEX(Vöruskrá!R:R,MATCH(B337,Vöruskrá!B:B,0))/1000,""))</f>
        <v>0</v>
      </c>
      <c r="P337" s="224"/>
      <c r="Q337" s="205"/>
      <c r="R337" s="6"/>
    </row>
    <row r="338" spans="1:18">
      <c r="A338" s="222"/>
      <c r="B338" s="222" t="s">
        <v>299</v>
      </c>
      <c r="C338" s="223">
        <v>776</v>
      </c>
      <c r="D338" s="219" t="str">
        <f>IF(B338="","",IFERROR(INDEX(Vöruskrá!F:F,MATCH(B338,Vöruskrá!B:B,0)),""))</f>
        <v>Salt (salt, kekkjavarnarefni E535, lyftiefni E500).</v>
      </c>
      <c r="E338" s="219" t="str">
        <f>IF(B338="","",IFERROR(IF(INDEX(Vöruskrá!G:G,MATCH(B338,Vöruskrá!B:B,0))="","Engir skráðir",INDEX(Vöruskrá!G:G,MATCH(B338,Vöruskrá!B:B,0))),"Engir skráðir"))</f>
        <v>Engir skráðir</v>
      </c>
      <c r="F338" s="219" t="str">
        <f>IF(B338="","",IFERROR(INDEX(Vöruskrá!H:H,MATCH(B338,Vöruskrá!B:B,0)),""))</f>
        <v>Framleitt á svæði þar sem unnið er með mjólk, glúten, egg, sesam, sellerí, soja og sinnep.</v>
      </c>
      <c r="G338" s="220">
        <f>IF(OR(B338="",C338=""),"",IFERROR(INDEX(Vöruskrá!J:J,MATCH(B338,Vöruskrá!B:B,0))*C338/100000,""))</f>
        <v>0</v>
      </c>
      <c r="H338" s="220">
        <f>IF(OR(B338="",C338=""),"",IFERROR(INDEX(Vöruskrá!K:K,MATCH(B338,Vöruskrá!B:B,0))*C338/100000,""))</f>
        <v>0</v>
      </c>
      <c r="I338" s="220">
        <f>IF(OR(B338="",C338=""),"",IFERROR(INDEX(Vöruskrá!L:L,MATCH(B338,Vöruskrá!B:B,0))*C338/100000,""))</f>
        <v>0</v>
      </c>
      <c r="J338" s="220">
        <f>IF(OR(B338="",C338=""),"",IFERROR(INDEX(Vöruskrá!M:M,MATCH(B338,Vöruskrá!B:B,0))*C338/100000,""))</f>
        <v>0</v>
      </c>
      <c r="K338" s="220">
        <f>IF(OR(B338="",C338=""),"",IFERROR(INDEX(Vöruskrá!N:N,MATCH(B338,Vöruskrá!B:B,0))*C338/100000,""))</f>
        <v>0</v>
      </c>
      <c r="L338" s="220">
        <f>IF(OR(B338="",C338=""),"",IFERROR(INDEX(Vöruskrá!O:O,MATCH(B338,Vöruskrá!B:B,0))*C338/100000,""))</f>
        <v>0</v>
      </c>
      <c r="M338" s="220">
        <f>IF(OR(B338="",C338=""),"",IFERROR(INDEX(Vöruskrá!P:P,MATCH(B338,Vöruskrá!B:B,0))*C338/100000,""))</f>
        <v>0.77600000000000002</v>
      </c>
      <c r="N338" s="220">
        <f>IF(OR(B338="",C338=""),"",IFERROR(INDEX(Vöruskrá!Q:Q,MATCH(B338,Vöruskrá!B:B,0))*C338/100000,""))</f>
        <v>0</v>
      </c>
      <c r="O338" s="221">
        <f>IF(OR(B338="",C338=""),"",IFERROR(C338/1000*INDEX(Vöruskrá!R:R,MATCH(B338,Vöruskrá!B:B,0))/1000,""))</f>
        <v>0</v>
      </c>
      <c r="P338" s="222"/>
      <c r="Q338" s="204"/>
      <c r="R338" s="27"/>
    </row>
    <row r="339" spans="1:18">
      <c r="A339" s="224"/>
      <c r="B339" s="224" t="s">
        <v>819</v>
      </c>
      <c r="C339" s="225">
        <v>291</v>
      </c>
      <c r="D339" s="219" t="str">
        <f>IF(B339="","",IFERROR(INDEX(Vöruskrá!F:F,MATCH(B339,Vöruskrá!B:B,0)),""))</f>
        <v>Svartur pipar 100% (Piper nigrum), hitaþurrkað.</v>
      </c>
      <c r="E339" s="219" t="str">
        <f>IF(B339="","",IFERROR(IF(INDEX(Vöruskrá!G:G,MATCH(B339,Vöruskrá!B:B,0))="","Engir skráðir",INDEX(Vöruskrá!G:G,MATCH(B339,Vöruskrá!B:B,0))),"Engir skráðir"))</f>
        <v>Engir skráðir</v>
      </c>
      <c r="F339" s="219" t="str">
        <f>IF(B339="","",IFERROR(INDEX(Vöruskrá!H:H,MATCH(B339,Vöruskrá!B:B,0)),""))</f>
        <v>Framleitt á svæði þar sem unnið er með glúten, fisk, krabbadýr, lindýr, mjólk, soja, sellerí, sinnep og sesam.</v>
      </c>
      <c r="G339" s="220">
        <f>IF(OR(B339="",C339=""),"",IFERROR(INDEX(Vöruskrá!J:J,MATCH(B339,Vöruskrá!B:B,0))*C339/100000,""))</f>
        <v>1.1232599999999999</v>
      </c>
      <c r="H339" s="220">
        <f>IF(OR(B339="",C339=""),"",IFERROR(INDEX(Vöruskrá!K:K,MATCH(B339,Vöruskrá!B:B,0))*C339/100000,""))</f>
        <v>9.6029999999999987E-3</v>
      </c>
      <c r="I339" s="220">
        <f>IF(OR(B339="",C339=""),"",IFERROR(INDEX(Vöruskrá!L:L,MATCH(B339,Vöruskrá!B:B,0))*C339/100000,""))</f>
        <v>2.9099999999999998E-3</v>
      </c>
      <c r="J339" s="220">
        <f>IF(OR(B339="",C339=""),"",IFERROR(INDEX(Vöruskrá!M:M,MATCH(B339,Vöruskrá!B:B,0))*C339/100000,""))</f>
        <v>0.18915000000000001</v>
      </c>
      <c r="K339" s="220">
        <f>IF(OR(B339="",C339=""),"",IFERROR(INDEX(Vöruskrá!N:N,MATCH(B339,Vöruskrá!B:B,0))*C339/100000,""))</f>
        <v>1.7459999999999999E-3</v>
      </c>
      <c r="L339" s="220">
        <f>IF(OR(B339="",C339=""),"",IFERROR(INDEX(Vöruskrá!O:O,MATCH(B339,Vöruskrá!B:B,0))*C339/100000,""))</f>
        <v>3.2009999999999997E-2</v>
      </c>
      <c r="M339" s="220">
        <f>IF(OR(B339="",C339=""),"",IFERROR(INDEX(Vöruskrá!P:P,MATCH(B339,Vöruskrá!B:B,0))*C339/100000,""))</f>
        <v>2.9100000000000003E-4</v>
      </c>
      <c r="N339" s="220">
        <f>IF(OR(B339="",C339=""),"",IFERROR(INDEX(Vöruskrá!Q:Q,MATCH(B339,Vöruskrá!B:B,0))*C339/100000,""))</f>
        <v>0</v>
      </c>
      <c r="O339" s="221">
        <f>IF(OR(B339="",C339=""),"",IFERROR(C339/1000*INDEX(Vöruskrá!R:R,MATCH(B339,Vöruskrá!B:B,0))/1000,""))</f>
        <v>0</v>
      </c>
      <c r="P339" s="224"/>
      <c r="Q339" s="205"/>
      <c r="R339" s="6"/>
    </row>
    <row r="340" spans="1:18">
      <c r="A340" s="222"/>
      <c r="B340" s="222" t="s">
        <v>1270</v>
      </c>
      <c r="C340" s="223">
        <v>3880</v>
      </c>
      <c r="D340" s="219" t="str">
        <f>IF(B340="","",IFERROR(INDEX(Vöruskrá!F:F,MATCH(B340,Vöruskrá!B:B,0)),""))</f>
        <v>Repjuolía</v>
      </c>
      <c r="E340" s="219" t="str">
        <f>IF(B340="","",IFERROR(IF(INDEX(Vöruskrá!G:G,MATCH(B340,Vöruskrá!B:B,0))="","Engir skráðir",INDEX(Vöruskrá!G:G,MATCH(B340,Vöruskrá!B:B,0))),"Engir skráðir"))</f>
        <v>Engir skráðir</v>
      </c>
      <c r="F340" s="219">
        <f>IF(B340="","",IFERROR(INDEX(Vöruskrá!H:H,MATCH(B340,Vöruskrá!B:B,0)),""))</f>
        <v>0</v>
      </c>
      <c r="G340" s="220">
        <f>IF(OR(B340="",C340=""),"",IFERROR(INDEX(Vöruskrá!J:J,MATCH(B340,Vöruskrá!B:B,0))*C340/100000,""))</f>
        <v>34.92</v>
      </c>
      <c r="H340" s="220">
        <f>IF(OR(B340="",C340=""),"",IFERROR(INDEX(Vöruskrá!K:K,MATCH(B340,Vöruskrá!B:B,0))*C340/100000,""))</f>
        <v>3.88</v>
      </c>
      <c r="I340" s="220">
        <f>IF(OR(B340="",C340=""),"",IFERROR(INDEX(Vöruskrá!L:L,MATCH(B340,Vöruskrá!B:B,0))*C340/100000,""))</f>
        <v>0.27160000000000001</v>
      </c>
      <c r="J340" s="220">
        <f>IF(OR(B340="",C340=""),"",IFERROR(INDEX(Vöruskrá!M:M,MATCH(B340,Vöruskrá!B:B,0))*C340/100000,""))</f>
        <v>2.5219999999999998</v>
      </c>
      <c r="K340" s="220">
        <f>IF(OR(B340="",C340=""),"",IFERROR(INDEX(Vöruskrá!N:N,MATCH(B340,Vöruskrá!B:B,0))*C340/100000,""))</f>
        <v>1.0669999999999999</v>
      </c>
      <c r="L340" s="220">
        <f>IF(OR(B340="",C340=""),"",IFERROR(INDEX(Vöruskrá!O:O,MATCH(B340,Vöruskrá!B:B,0))*C340/100000,""))</f>
        <v>0</v>
      </c>
      <c r="M340" s="220">
        <f>IF(OR(B340="",C340=""),"",IFERROR(INDEX(Vöruskrá!P:P,MATCH(B340,Vöruskrá!B:B,0))*C340/100000,""))</f>
        <v>0</v>
      </c>
      <c r="N340" s="220">
        <f>IF(OR(B340="",C340=""),"",IFERROR(INDEX(Vöruskrá!Q:Q,MATCH(B340,Vöruskrá!B:B,0))*C340/100000,""))</f>
        <v>0</v>
      </c>
      <c r="O340" s="221">
        <f>IF(OR(B340="",C340=""),"",IFERROR(C340/1000*INDEX(Vöruskrá!R:R,MATCH(B340,Vöruskrá!B:B,0))/1000,""))</f>
        <v>0</v>
      </c>
      <c r="P340" s="222"/>
      <c r="Q340" s="204"/>
      <c r="R340" s="27"/>
    </row>
    <row r="341" spans="1:18" ht="26">
      <c r="A341" s="176" t="s">
        <v>3714</v>
      </c>
      <c r="B341" s="176"/>
      <c r="C341" s="177"/>
      <c r="D341" s="216" t="str">
        <f>_xlfn.TEXTJOIN(" | ",TRUE,D342:D349)</f>
        <v>Ýsa | 0 | 0 | 0 | Þurrkuð og möluð paprika (Capsicum annuum) | Hvítlauksduft 100% | Salt (salt, kekkjavarnarefni E535, lyftiefni E500). | Repjuolía</v>
      </c>
      <c r="E341" s="216" t="str" cm="1">
        <f t="array" ref="E341">IFERROR(_xlfn.TEXTJOIN(", ",TRUE,_xlfn.UNIQUE(_xlfn._xlws.FILTER(E342:E349,(E342:E349&lt;&gt;"Engir skráðir")*(E342:E349&lt;&gt;"")))),"Engir skráðir")</f>
        <v>Fiskur</v>
      </c>
      <c r="F341" s="216"/>
      <c r="G341" s="217">
        <f>IFERROR(SUM(G342:G349)/(SUM($C$342:$C$349)/100000),"")</f>
        <v>120.69205692056921</v>
      </c>
      <c r="H341" s="217">
        <f>IFERROR(SUM(H342:H349)/(SUM($C$342:$C$349)/100000),"")</f>
        <v>5.2966059660596594</v>
      </c>
      <c r="I341" s="217">
        <f>IFERROR(SUM(I342:I349)/(SUM($C$342:$C$349)/100000),"")</f>
        <v>0.41905819058190585</v>
      </c>
      <c r="J341" s="217">
        <f>IFERROR(SUM(J342:J349)/(SUM($C$342:$C$349)/100000),"")</f>
        <v>3.8648386483864834</v>
      </c>
      <c r="K341" s="217">
        <f>IFERROR(SUM(K342:K349)/(SUM($C$342:$C$349)/100000),"")</f>
        <v>1.4836398363983638</v>
      </c>
      <c r="L341" s="217">
        <f>IFERROR(SUM(L342:L349)/(SUM($C$342:$C$349)/100000),"")</f>
        <v>17.325793257932574</v>
      </c>
      <c r="M341" s="217">
        <f>IFERROR(SUM(M342:M349)/(SUM($C$342:$C$349)/100000),"")</f>
        <v>1.1546635466354662</v>
      </c>
      <c r="N341" s="217">
        <f>IFERROR(SUM(N342:N349)/(SUM($C$342:$C$349)/100000),"")</f>
        <v>0.32550325503255034</v>
      </c>
      <c r="O341" s="218" t="str">
        <f>IF(OR(B341="",C341=""),"",IFERROR(C341/1000*INDEX(Vöruskrá!R:R,MATCH(B341,Vöruskrá!B:B,0))/1000,""))</f>
        <v/>
      </c>
      <c r="P341" s="176" t="s">
        <v>3715</v>
      </c>
      <c r="Q341" s="205"/>
      <c r="R341" s="6"/>
    </row>
    <row r="342" spans="1:18">
      <c r="A342" s="222"/>
      <c r="B342" s="222" t="s">
        <v>926</v>
      </c>
      <c r="C342" s="223">
        <v>74419</v>
      </c>
      <c r="D342" s="219" t="str">
        <f>IF(B342="","",IFERROR(INDEX(Vöruskrá!F:F,MATCH(B342,Vöruskrá!B:B,0)),""))</f>
        <v>Ýsa</v>
      </c>
      <c r="E342" s="219" t="str">
        <f>IF(B342="","",IFERROR(IF(INDEX(Vöruskrá!G:G,MATCH(B342,Vöruskrá!B:B,0))="","Engir skráðir",INDEX(Vöruskrá!G:G,MATCH(B342,Vöruskrá!B:B,0))),"Engir skráðir"))</f>
        <v>Fiskur</v>
      </c>
      <c r="F342" s="219">
        <f>IF(B342="","",IFERROR(INDEX(Vöruskrá!H:H,MATCH(B342,Vöruskrá!B:B,0)),""))</f>
        <v>0</v>
      </c>
      <c r="G342" s="220">
        <f>IF(OR(B342="",C342=""),"",IFERROR(INDEX(Vöruskrá!J:J,MATCH(B342,Vöruskrá!B:B,0))*C342/100000,""))</f>
        <v>74.418999999999997</v>
      </c>
      <c r="H342" s="220">
        <f>IF(OR(B342="",C342=""),"",IFERROR(INDEX(Vöruskrá!K:K,MATCH(B342,Vöruskrá!B:B,0))*C342/100000,""))</f>
        <v>0.52093299999999998</v>
      </c>
      <c r="I342" s="220">
        <f>IF(OR(B342="",C342=""),"",IFERROR(INDEX(Vöruskrá!L:L,MATCH(B342,Vöruskrá!B:B,0))*C342/100000,""))</f>
        <v>7.4418999999999999E-2</v>
      </c>
      <c r="J342" s="220">
        <f>IF(OR(B342="",C342=""),"",IFERROR(INDEX(Vöruskrá!M:M,MATCH(B342,Vöruskrá!B:B,0))*C342/100000,""))</f>
        <v>0</v>
      </c>
      <c r="K342" s="220">
        <f>IF(OR(B342="",C342=""),"",IFERROR(INDEX(Vöruskrá!N:N,MATCH(B342,Vöruskrá!B:B,0))*C342/100000,""))</f>
        <v>0</v>
      </c>
      <c r="L342" s="220">
        <f>IF(OR(B342="",C342=""),"",IFERROR(INDEX(Vöruskrá!O:O,MATCH(B342,Vöruskrá!B:B,0))*C342/100000,""))</f>
        <v>17.11637</v>
      </c>
      <c r="M342" s="220">
        <f>IF(OR(B342="",C342=""),"",IFERROR(INDEX(Vöruskrá!P:P,MATCH(B342,Vöruskrá!B:B,0))*C342/100000,""))</f>
        <v>0.22325700000000001</v>
      </c>
      <c r="N342" s="220">
        <f>IF(OR(B342="",C342=""),"",IFERROR(INDEX(Vöruskrá!Q:Q,MATCH(B342,Vöruskrá!B:B,0))*C342/100000,""))</f>
        <v>0</v>
      </c>
      <c r="O342" s="221">
        <f>IF(OR(B342="",C342=""),"",IFERROR(C342/1000*INDEX(Vöruskrá!R:R,MATCH(B342,Vöruskrá!B:B,0))/1000,""))</f>
        <v>0</v>
      </c>
      <c r="P342" s="222"/>
      <c r="Q342" s="204"/>
      <c r="R342" s="27"/>
    </row>
    <row r="343" spans="1:18">
      <c r="A343" s="224"/>
      <c r="B343" s="224" t="s">
        <v>3640</v>
      </c>
      <c r="C343" s="225">
        <v>4651</v>
      </c>
      <c r="D343" s="219">
        <f>IF(B343="","",IFERROR(INDEX(Vöruskrá!F:F,MATCH(B343,Vöruskrá!B:B,0)),""))</f>
        <v>0</v>
      </c>
      <c r="E343" s="219" t="str">
        <f>IF(B343="","",IFERROR(IF(INDEX(Vöruskrá!G:G,MATCH(B343,Vöruskrá!B:B,0))="","Engir skráðir",INDEX(Vöruskrá!G:G,MATCH(B343,Vöruskrá!B:B,0))),"Engir skráðir"))</f>
        <v>Engir skráðir</v>
      </c>
      <c r="F343" s="219">
        <f>IF(B343="","",IFERROR(INDEX(Vöruskrá!H:H,MATCH(B343,Vöruskrá!B:B,0)),""))</f>
        <v>0</v>
      </c>
      <c r="G343" s="220">
        <f>IF(OR(B343="",C343=""),"",IFERROR(INDEX(Vöruskrá!J:J,MATCH(B343,Vöruskrá!B:B,0))*C343/100000,""))</f>
        <v>0</v>
      </c>
      <c r="H343" s="220">
        <f>IF(OR(B343="",C343=""),"",IFERROR(INDEX(Vöruskrá!K:K,MATCH(B343,Vöruskrá!B:B,0))*C343/100000,""))</f>
        <v>0</v>
      </c>
      <c r="I343" s="220">
        <f>IF(OR(B343="",C343=""),"",IFERROR(INDEX(Vöruskrá!L:L,MATCH(B343,Vöruskrá!B:B,0))*C343/100000,""))</f>
        <v>0</v>
      </c>
      <c r="J343" s="220">
        <f>IF(OR(B343="",C343=""),"",IFERROR(INDEX(Vöruskrá!M:M,MATCH(B343,Vöruskrá!B:B,0))*C343/100000,""))</f>
        <v>0</v>
      </c>
      <c r="K343" s="220">
        <f>IF(OR(B343="",C343=""),"",IFERROR(INDEX(Vöruskrá!N:N,MATCH(B343,Vöruskrá!B:B,0))*C343/100000,""))</f>
        <v>0</v>
      </c>
      <c r="L343" s="220">
        <f>IF(OR(B343="",C343=""),"",IFERROR(INDEX(Vöruskrá!O:O,MATCH(B343,Vöruskrá!B:B,0))*C343/100000,""))</f>
        <v>0</v>
      </c>
      <c r="M343" s="220">
        <f>IF(OR(B343="",C343=""),"",IFERROR(INDEX(Vöruskrá!P:P,MATCH(B343,Vöruskrá!B:B,0))*C343/100000,""))</f>
        <v>0</v>
      </c>
      <c r="N343" s="220">
        <f>IF(OR(B343="",C343=""),"",IFERROR(INDEX(Vöruskrá!Q:Q,MATCH(B343,Vöruskrá!B:B,0))*C343/100000,""))</f>
        <v>0</v>
      </c>
      <c r="O343" s="221">
        <f>IF(OR(B343="",C343=""),"",IFERROR(C343/1000*INDEX(Vöruskrá!R:R,MATCH(B343,Vöruskrá!B:B,0))/1000,""))</f>
        <v>0</v>
      </c>
      <c r="P343" s="224"/>
      <c r="Q343" s="205"/>
      <c r="R343" s="6"/>
    </row>
    <row r="344" spans="1:18">
      <c r="A344" s="222"/>
      <c r="B344" s="222" t="s">
        <v>2420</v>
      </c>
      <c r="C344" s="223">
        <v>4651</v>
      </c>
      <c r="D344" s="219">
        <f>IF(B344="","",IFERROR(INDEX(Vöruskrá!F:F,MATCH(B344,Vöruskrá!B:B,0)),""))</f>
        <v>0</v>
      </c>
      <c r="E344" s="219" t="str">
        <f>IF(B344="","",IFERROR(IF(INDEX(Vöruskrá!G:G,MATCH(B344,Vöruskrá!B:B,0))="","Engir skráðir",INDEX(Vöruskrá!G:G,MATCH(B344,Vöruskrá!B:B,0))),"Engir skráðir"))</f>
        <v>Engir skráðir</v>
      </c>
      <c r="F344" s="219">
        <f>IF(B344="","",IFERROR(INDEX(Vöruskrá!H:H,MATCH(B344,Vöruskrá!B:B,0)),""))</f>
        <v>0</v>
      </c>
      <c r="G344" s="220">
        <f>IF(OR(B344="",C344=""),"",IFERROR(INDEX(Vöruskrá!J:J,MATCH(B344,Vöruskrá!B:B,0))*C344/100000,""))</f>
        <v>0</v>
      </c>
      <c r="H344" s="220">
        <f>IF(OR(B344="",C344=""),"",IFERROR(INDEX(Vöruskrá!K:K,MATCH(B344,Vöruskrá!B:B,0))*C344/100000,""))</f>
        <v>0</v>
      </c>
      <c r="I344" s="220">
        <f>IF(OR(B344="",C344=""),"",IFERROR(INDEX(Vöruskrá!L:L,MATCH(B344,Vöruskrá!B:B,0))*C344/100000,""))</f>
        <v>0</v>
      </c>
      <c r="J344" s="220">
        <f>IF(OR(B344="",C344=""),"",IFERROR(INDEX(Vöruskrá!M:M,MATCH(B344,Vöruskrá!B:B,0))*C344/100000,""))</f>
        <v>0</v>
      </c>
      <c r="K344" s="220">
        <f>IF(OR(B344="",C344=""),"",IFERROR(INDEX(Vöruskrá!N:N,MATCH(B344,Vöruskrá!B:B,0))*C344/100000,""))</f>
        <v>0</v>
      </c>
      <c r="L344" s="220">
        <f>IF(OR(B344="",C344=""),"",IFERROR(INDEX(Vöruskrá!O:O,MATCH(B344,Vöruskrá!B:B,0))*C344/100000,""))</f>
        <v>0</v>
      </c>
      <c r="M344" s="220">
        <f>IF(OR(B344="",C344=""),"",IFERROR(INDEX(Vöruskrá!P:P,MATCH(B344,Vöruskrá!B:B,0))*C344/100000,""))</f>
        <v>0</v>
      </c>
      <c r="N344" s="220">
        <f>IF(OR(B344="",C344=""),"",IFERROR(INDEX(Vöruskrá!Q:Q,MATCH(B344,Vöruskrá!B:B,0))*C344/100000,""))</f>
        <v>0</v>
      </c>
      <c r="O344" s="221">
        <f>IF(OR(B344="",C344=""),"",IFERROR(C344/1000*INDEX(Vöruskrá!R:R,MATCH(B344,Vöruskrá!B:B,0))/1000,""))</f>
        <v>0</v>
      </c>
      <c r="P344" s="222"/>
      <c r="Q344" s="204"/>
      <c r="R344" s="27"/>
    </row>
    <row r="345" spans="1:18">
      <c r="A345" s="224"/>
      <c r="B345" s="224" t="s">
        <v>3641</v>
      </c>
      <c r="C345" s="225">
        <v>9302</v>
      </c>
      <c r="D345" s="219">
        <f>IF(B345="","",IFERROR(INDEX(Vöruskrá!F:F,MATCH(B345,Vöruskrá!B:B,0)),""))</f>
        <v>0</v>
      </c>
      <c r="E345" s="219" t="str">
        <f>IF(B345="","",IFERROR(IF(INDEX(Vöruskrá!G:G,MATCH(B345,Vöruskrá!B:B,0))="","Engir skráðir",INDEX(Vöruskrá!G:G,MATCH(B345,Vöruskrá!B:B,0))),"Engir skráðir"))</f>
        <v>Engir skráðir</v>
      </c>
      <c r="F345" s="219">
        <f>IF(B345="","",IFERROR(INDEX(Vöruskrá!H:H,MATCH(B345,Vöruskrá!B:B,0)),""))</f>
        <v>0</v>
      </c>
      <c r="G345" s="220">
        <f>IF(OR(B345="",C345=""),"",IFERROR(INDEX(Vöruskrá!J:J,MATCH(B345,Vöruskrá!B:B,0))*C345/100000,""))</f>
        <v>0</v>
      </c>
      <c r="H345" s="220">
        <f>IF(OR(B345="",C345=""),"",IFERROR(INDEX(Vöruskrá!K:K,MATCH(B345,Vöruskrá!B:B,0))*C345/100000,""))</f>
        <v>0</v>
      </c>
      <c r="I345" s="220">
        <f>IF(OR(B345="",C345=""),"",IFERROR(INDEX(Vöruskrá!L:L,MATCH(B345,Vöruskrá!B:B,0))*C345/100000,""))</f>
        <v>0</v>
      </c>
      <c r="J345" s="220">
        <f>IF(OR(B345="",C345=""),"",IFERROR(INDEX(Vöruskrá!M:M,MATCH(B345,Vöruskrá!B:B,0))*C345/100000,""))</f>
        <v>0</v>
      </c>
      <c r="K345" s="220">
        <f>IF(OR(B345="",C345=""),"",IFERROR(INDEX(Vöruskrá!N:N,MATCH(B345,Vöruskrá!B:B,0))*C345/100000,""))</f>
        <v>0</v>
      </c>
      <c r="L345" s="220">
        <f>IF(OR(B345="",C345=""),"",IFERROR(INDEX(Vöruskrá!O:O,MATCH(B345,Vöruskrá!B:B,0))*C345/100000,""))</f>
        <v>0</v>
      </c>
      <c r="M345" s="220">
        <f>IF(OR(B345="",C345=""),"",IFERROR(INDEX(Vöruskrá!P:P,MATCH(B345,Vöruskrá!B:B,0))*C345/100000,""))</f>
        <v>0</v>
      </c>
      <c r="N345" s="220">
        <f>IF(OR(B345="",C345=""),"",IFERROR(INDEX(Vöruskrá!Q:Q,MATCH(B345,Vöruskrá!B:B,0))*C345/100000,""))</f>
        <v>0</v>
      </c>
      <c r="O345" s="221">
        <f>IF(OR(B345="",C345=""),"",IFERROR(C345/1000*INDEX(Vöruskrá!R:R,MATCH(B345,Vöruskrá!B:B,0))/1000,""))</f>
        <v>0</v>
      </c>
      <c r="P345" s="224"/>
      <c r="Q345" s="205"/>
      <c r="R345" s="6"/>
    </row>
    <row r="346" spans="1:18">
      <c r="A346" s="222"/>
      <c r="B346" s="222" t="s">
        <v>1026</v>
      </c>
      <c r="C346" s="223">
        <v>930</v>
      </c>
      <c r="D346" s="219" t="str">
        <f>IF(B346="","",IFERROR(INDEX(Vöruskrá!F:F,MATCH(B346,Vöruskrá!B:B,0)),""))</f>
        <v>Þurrkuð og möluð paprika (Capsicum annuum)</v>
      </c>
      <c r="E346" s="219" t="str">
        <f>IF(B346="","",IFERROR(IF(INDEX(Vöruskrá!G:G,MATCH(B346,Vöruskrá!B:B,0))="","Engir skráðir",INDEX(Vöruskrá!G:G,MATCH(B346,Vöruskrá!B:B,0))),"Engir skráðir"))</f>
        <v>Engir skráðir</v>
      </c>
      <c r="F346" s="219" t="str">
        <f>IF(B346="","",IFERROR(INDEX(Vöruskrá!H:H,MATCH(B346,Vöruskrá!B:B,0)),""))</f>
        <v>Framleitt á svæði þar sem unnið er með glúten, fisk, mjólk, soja, sellerí, sinnep og sesam.</v>
      </c>
      <c r="G346" s="220">
        <f>IF(OR(B346="",C346=""),"",IFERROR(INDEX(Vöruskrá!J:J,MATCH(B346,Vöruskrá!B:B,0))*C346/100000,""))</f>
        <v>2.6225999999999998</v>
      </c>
      <c r="H346" s="220">
        <f>IF(OR(B346="",C346=""),"",IFERROR(INDEX(Vöruskrá!K:K,MATCH(B346,Vöruskrá!B:B,0))*C346/100000,""))</f>
        <v>0.12089999999999999</v>
      </c>
      <c r="I346" s="220">
        <f>IF(OR(B346="",C346=""),"",IFERROR(INDEX(Vöruskrá!L:L,MATCH(B346,Vöruskrá!B:B,0))*C346/100000,""))</f>
        <v>1.8599999999999998E-2</v>
      </c>
      <c r="J346" s="220">
        <f>IF(OR(B346="",C346=""),"",IFERROR(INDEX(Vöruskrá!M:M,MATCH(B346,Vöruskrá!B:B,0))*C346/100000,""))</f>
        <v>0.50219999999999998</v>
      </c>
      <c r="K346" s="220">
        <f>IF(OR(B346="",C346=""),"",IFERROR(INDEX(Vöruskrá!N:N,MATCH(B346,Vöruskrá!B:B,0))*C346/100000,""))</f>
        <v>9.2999999999999999E-2</v>
      </c>
      <c r="L346" s="220">
        <f>IF(OR(B346="",C346=""),"",IFERROR(INDEX(Vöruskrá!O:O,MATCH(B346,Vöruskrá!B:B,0))*C346/100000,""))</f>
        <v>0.13020000000000001</v>
      </c>
      <c r="M346" s="220">
        <f>IF(OR(B346="",C346=""),"",IFERROR(INDEX(Vöruskrá!P:P,MATCH(B346,Vöruskrá!B:B,0))*C346/100000,""))</f>
        <v>9.3000000000000005E-4</v>
      </c>
      <c r="N346" s="220">
        <f>IF(OR(B346="",C346=""),"",IFERROR(INDEX(Vöruskrá!Q:Q,MATCH(B346,Vöruskrá!B:B,0))*C346/100000,""))</f>
        <v>0.32550000000000001</v>
      </c>
      <c r="O346" s="221">
        <f>IF(OR(B346="",C346=""),"",IFERROR(C346/1000*INDEX(Vöruskrá!R:R,MATCH(B346,Vöruskrá!B:B,0))/1000,""))</f>
        <v>0</v>
      </c>
      <c r="P346" s="222"/>
      <c r="Q346" s="204"/>
      <c r="R346" s="27"/>
    </row>
    <row r="347" spans="1:18">
      <c r="A347" s="224"/>
      <c r="B347" s="224" t="s">
        <v>315</v>
      </c>
      <c r="C347" s="225">
        <v>465</v>
      </c>
      <c r="D347" s="219" t="str">
        <f>IF(B347="","",IFERROR(INDEX(Vöruskrá!F:F,MATCH(B347,Vöruskrá!B:B,0)),""))</f>
        <v>Hvítlauksduft 100%</v>
      </c>
      <c r="E347" s="219" t="str">
        <f>IF(B347="","",IFERROR(IF(INDEX(Vöruskrá!G:G,MATCH(B347,Vöruskrá!B:B,0))="","Engir skráðir",INDEX(Vöruskrá!G:G,MATCH(B347,Vöruskrá!B:B,0))),"Engir skráðir"))</f>
        <v>Engir skráðir</v>
      </c>
      <c r="F347" s="219" t="str">
        <f>IF(B347="","",IFERROR(INDEX(Vöruskrá!H:H,MATCH(B347,Vöruskrá!B:B,0)),""))</f>
        <v>Framleitt á svæði þar sem unnið er með glúten, fisk, krabbadýr, lindýr, mjólk, soja, sellerí, sinnep og sesam.</v>
      </c>
      <c r="G347" s="220">
        <f>IF(OR(B347="",C347=""),"",IFERROR(INDEX(Vöruskrá!J:J,MATCH(B347,Vöruskrá!B:B,0))*C347/100000,""))</f>
        <v>1.7902499999999999</v>
      </c>
      <c r="H347" s="220">
        <f>IF(OR(B347="",C347=""),"",IFERROR(INDEX(Vöruskrá!K:K,MATCH(B347,Vöruskrá!B:B,0))*C347/100000,""))</f>
        <v>3.7200000000000002E-3</v>
      </c>
      <c r="I347" s="220">
        <f>IF(OR(B347="",C347=""),"",IFERROR(INDEX(Vöruskrá!L:L,MATCH(B347,Vöruskrá!B:B,0))*C347/100000,""))</f>
        <v>4.6500000000000003E-4</v>
      </c>
      <c r="J347" s="220">
        <f>IF(OR(B347="",C347=""),"",IFERROR(INDEX(Vöruskrá!M:M,MATCH(B347,Vöruskrá!B:B,0))*C347/100000,""))</f>
        <v>0.33944999999999997</v>
      </c>
      <c r="K347" s="220">
        <f>IF(OR(B347="",C347=""),"",IFERROR(INDEX(Vöruskrá!N:N,MATCH(B347,Vöruskrá!B:B,0))*C347/100000,""))</f>
        <v>0.1116</v>
      </c>
      <c r="L347" s="220">
        <f>IF(OR(B347="",C347=""),"",IFERROR(INDEX(Vöruskrá!O:O,MATCH(B347,Vöruskrá!B:B,0))*C347/100000,""))</f>
        <v>7.9049999999999995E-2</v>
      </c>
      <c r="M347" s="220">
        <f>IF(OR(B347="",C347=""),"",IFERROR(INDEX(Vöruskrá!P:P,MATCH(B347,Vöruskrá!B:B,0))*C347/100000,""))</f>
        <v>4.6500000000000003E-4</v>
      </c>
      <c r="N347" s="220">
        <f>IF(OR(B347="",C347=""),"",IFERROR(INDEX(Vöruskrá!Q:Q,MATCH(B347,Vöruskrá!B:B,0))*C347/100000,""))</f>
        <v>0</v>
      </c>
      <c r="O347" s="221">
        <f>IF(OR(B347="",C347=""),"",IFERROR(C347/1000*INDEX(Vöruskrá!R:R,MATCH(B347,Vöruskrá!B:B,0))/1000,""))</f>
        <v>0</v>
      </c>
      <c r="P347" s="224"/>
      <c r="Q347" s="205"/>
      <c r="R347" s="6"/>
    </row>
    <row r="348" spans="1:18">
      <c r="A348" s="222"/>
      <c r="B348" s="222" t="s">
        <v>299</v>
      </c>
      <c r="C348" s="223">
        <v>930</v>
      </c>
      <c r="D348" s="219" t="str">
        <f>IF(B348="","",IFERROR(INDEX(Vöruskrá!F:F,MATCH(B348,Vöruskrá!B:B,0)),""))</f>
        <v>Salt (salt, kekkjavarnarefni E535, lyftiefni E500).</v>
      </c>
      <c r="E348" s="219" t="str">
        <f>IF(B348="","",IFERROR(IF(INDEX(Vöruskrá!G:G,MATCH(B348,Vöruskrá!B:B,0))="","Engir skráðir",INDEX(Vöruskrá!G:G,MATCH(B348,Vöruskrá!B:B,0))),"Engir skráðir"))</f>
        <v>Engir skráðir</v>
      </c>
      <c r="F348" s="219" t="str">
        <f>IF(B348="","",IFERROR(INDEX(Vöruskrá!H:H,MATCH(B348,Vöruskrá!B:B,0)),""))</f>
        <v>Framleitt á svæði þar sem unnið er með mjólk, glúten, egg, sesam, sellerí, soja og sinnep.</v>
      </c>
      <c r="G348" s="220">
        <f>IF(OR(B348="",C348=""),"",IFERROR(INDEX(Vöruskrá!J:J,MATCH(B348,Vöruskrá!B:B,0))*C348/100000,""))</f>
        <v>0</v>
      </c>
      <c r="H348" s="220">
        <f>IF(OR(B348="",C348=""),"",IFERROR(INDEX(Vöruskrá!K:K,MATCH(B348,Vöruskrá!B:B,0))*C348/100000,""))</f>
        <v>0</v>
      </c>
      <c r="I348" s="220">
        <f>IF(OR(B348="",C348=""),"",IFERROR(INDEX(Vöruskrá!L:L,MATCH(B348,Vöruskrá!B:B,0))*C348/100000,""))</f>
        <v>0</v>
      </c>
      <c r="J348" s="220">
        <f>IF(OR(B348="",C348=""),"",IFERROR(INDEX(Vöruskrá!M:M,MATCH(B348,Vöruskrá!B:B,0))*C348/100000,""))</f>
        <v>0</v>
      </c>
      <c r="K348" s="220">
        <f>IF(OR(B348="",C348=""),"",IFERROR(INDEX(Vöruskrá!N:N,MATCH(B348,Vöruskrá!B:B,0))*C348/100000,""))</f>
        <v>0</v>
      </c>
      <c r="L348" s="220">
        <f>IF(OR(B348="",C348=""),"",IFERROR(INDEX(Vöruskrá!O:O,MATCH(B348,Vöruskrá!B:B,0))*C348/100000,""))</f>
        <v>0</v>
      </c>
      <c r="M348" s="220">
        <f>IF(OR(B348="",C348=""),"",IFERROR(INDEX(Vöruskrá!P:P,MATCH(B348,Vöruskrá!B:B,0))*C348/100000,""))</f>
        <v>0.93</v>
      </c>
      <c r="N348" s="220">
        <f>IF(OR(B348="",C348=""),"",IFERROR(INDEX(Vöruskrá!Q:Q,MATCH(B348,Vöruskrá!B:B,0))*C348/100000,""))</f>
        <v>0</v>
      </c>
      <c r="O348" s="221">
        <f>IF(OR(B348="",C348=""),"",IFERROR(C348/1000*INDEX(Vöruskrá!R:R,MATCH(B348,Vöruskrá!B:B,0))/1000,""))</f>
        <v>0</v>
      </c>
      <c r="P348" s="222"/>
      <c r="Q348" s="204"/>
      <c r="R348" s="27"/>
    </row>
    <row r="349" spans="1:18">
      <c r="A349" s="224"/>
      <c r="B349" s="224" t="s">
        <v>1270</v>
      </c>
      <c r="C349" s="225">
        <v>4651</v>
      </c>
      <c r="D349" s="219" t="str">
        <f>IF(B349="","",IFERROR(INDEX(Vöruskrá!F:F,MATCH(B349,Vöruskrá!B:B,0)),""))</f>
        <v>Repjuolía</v>
      </c>
      <c r="E349" s="219" t="str">
        <f>IF(B349="","",IFERROR(IF(INDEX(Vöruskrá!G:G,MATCH(B349,Vöruskrá!B:B,0))="","Engir skráðir",INDEX(Vöruskrá!G:G,MATCH(B349,Vöruskrá!B:B,0))),"Engir skráðir"))</f>
        <v>Engir skráðir</v>
      </c>
      <c r="F349" s="219">
        <f>IF(B349="","",IFERROR(INDEX(Vöruskrá!H:H,MATCH(B349,Vöruskrá!B:B,0)),""))</f>
        <v>0</v>
      </c>
      <c r="G349" s="220">
        <f>IF(OR(B349="",C349=""),"",IFERROR(INDEX(Vöruskrá!J:J,MATCH(B349,Vöruskrá!B:B,0))*C349/100000,""))</f>
        <v>41.859000000000002</v>
      </c>
      <c r="H349" s="220">
        <f>IF(OR(B349="",C349=""),"",IFERROR(INDEX(Vöruskrá!K:K,MATCH(B349,Vöruskrá!B:B,0))*C349/100000,""))</f>
        <v>4.6509999999999998</v>
      </c>
      <c r="I349" s="220">
        <f>IF(OR(B349="",C349=""),"",IFERROR(INDEX(Vöruskrá!L:L,MATCH(B349,Vöruskrá!B:B,0))*C349/100000,""))</f>
        <v>0.32557000000000003</v>
      </c>
      <c r="J349" s="220">
        <f>IF(OR(B349="",C349=""),"",IFERROR(INDEX(Vöruskrá!M:M,MATCH(B349,Vöruskrá!B:B,0))*C349/100000,""))</f>
        <v>3.0231499999999998</v>
      </c>
      <c r="K349" s="220">
        <f>IF(OR(B349="",C349=""),"",IFERROR(INDEX(Vöruskrá!N:N,MATCH(B349,Vöruskrá!B:B,0))*C349/100000,""))</f>
        <v>1.2790250000000001</v>
      </c>
      <c r="L349" s="220">
        <f>IF(OR(B349="",C349=""),"",IFERROR(INDEX(Vöruskrá!O:O,MATCH(B349,Vöruskrá!B:B,0))*C349/100000,""))</f>
        <v>0</v>
      </c>
      <c r="M349" s="220">
        <f>IF(OR(B349="",C349=""),"",IFERROR(INDEX(Vöruskrá!P:P,MATCH(B349,Vöruskrá!B:B,0))*C349/100000,""))</f>
        <v>0</v>
      </c>
      <c r="N349" s="220">
        <f>IF(OR(B349="",C349=""),"",IFERROR(INDEX(Vöruskrá!Q:Q,MATCH(B349,Vöruskrá!B:B,0))*C349/100000,""))</f>
        <v>0</v>
      </c>
      <c r="O349" s="221">
        <f>IF(OR(B349="",C349=""),"",IFERROR(C349/1000*INDEX(Vöruskrá!R:R,MATCH(B349,Vöruskrá!B:B,0))/1000,""))</f>
        <v>0</v>
      </c>
      <c r="P349" s="224"/>
      <c r="Q349" s="205"/>
      <c r="R349" s="6"/>
    </row>
    <row r="350" spans="1:18" ht="26">
      <c r="A350" s="176" t="s">
        <v>3716</v>
      </c>
      <c r="B350" s="176"/>
      <c r="C350" s="177"/>
      <c r="D350" s="216"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6" t="str" cm="1">
        <f t="array" ref="E350">IFERROR(_xlfn.TEXTJOIN(", ",TRUE,_xlfn.UNIQUE(_xlfn._xlws.FILTER(E351:E358,(E351:E358&lt;&gt;"Engir skráðir")*(E351:E358&lt;&gt;"")))),"Engir skráðir")</f>
        <v>Fiskur, Mjólk</v>
      </c>
      <c r="F350" s="216"/>
      <c r="G350" s="217">
        <f>IFERROR(SUM(G351:G358)/(SUM($C$351:$C$358)/100000),"")</f>
        <v>72.828400000000002</v>
      </c>
      <c r="H350" s="217">
        <f>IFERROR(SUM(H351:H358)/(SUM($C$351:$C$358)/100000),"")</f>
        <v>2.0489289999999998</v>
      </c>
      <c r="I350" s="217">
        <f>IFERROR(SUM(I351:I358)/(SUM($C$351:$C$358)/100000),"")</f>
        <v>1.0638970000000001</v>
      </c>
      <c r="J350" s="217">
        <f>IFERROR(SUM(J351:J358)/(SUM($C$351:$C$358)/100000),"")</f>
        <v>0.54398999999999997</v>
      </c>
      <c r="K350" s="217">
        <f>IFERROR(SUM(K351:K358)/(SUM($C$351:$C$358)/100000),"")</f>
        <v>0.19855</v>
      </c>
      <c r="L350" s="217">
        <f>IFERROR(SUM(L351:L358)/(SUM($C$351:$C$358)/100000),"")</f>
        <v>12.721195</v>
      </c>
      <c r="M350" s="217">
        <f>IFERROR(SUM(M351:M358)/(SUM($C$351:$C$358)/100000),"")</f>
        <v>1.5001910000000001</v>
      </c>
      <c r="N350" s="217">
        <f>IFERROR(SUM(N351:N358)/(SUM($C$351:$C$358)/100000),"")</f>
        <v>0</v>
      </c>
      <c r="O350" s="218" t="str">
        <f>IF(OR(B350="",C350=""),"",IFERROR(C350/1000*INDEX(Vöruskrá!R:R,MATCH(B350,Vöruskrá!B:B,0))/1000,""))</f>
        <v/>
      </c>
      <c r="P350" s="176" t="s">
        <v>3717</v>
      </c>
      <c r="Q350" s="204"/>
      <c r="R350" s="27"/>
    </row>
    <row r="351" spans="1:18">
      <c r="A351" s="222"/>
      <c r="B351" s="222" t="s">
        <v>926</v>
      </c>
      <c r="C351" s="223">
        <v>54397</v>
      </c>
      <c r="D351" s="219" t="str">
        <f>IF(B351="","",IFERROR(INDEX(Vöruskrá!F:F,MATCH(B351,Vöruskrá!B:B,0)),""))</f>
        <v>Ýsa</v>
      </c>
      <c r="E351" s="219" t="str">
        <f>IF(B351="","",IFERROR(IF(INDEX(Vöruskrá!G:G,MATCH(B351,Vöruskrá!B:B,0))="","Engir skráðir",INDEX(Vöruskrá!G:G,MATCH(B351,Vöruskrá!B:B,0))),"Engir skráðir"))</f>
        <v>Fiskur</v>
      </c>
      <c r="F351" s="219">
        <f>IF(B351="","",IFERROR(INDEX(Vöruskrá!H:H,MATCH(B351,Vöruskrá!B:B,0)),""))</f>
        <v>0</v>
      </c>
      <c r="G351" s="220">
        <f>IF(OR(B351="",C351=""),"",IFERROR(INDEX(Vöruskrá!J:J,MATCH(B351,Vöruskrá!B:B,0))*C351/100000,""))</f>
        <v>54.396999999999998</v>
      </c>
      <c r="H351" s="220">
        <f>IF(OR(B351="",C351=""),"",IFERROR(INDEX(Vöruskrá!K:K,MATCH(B351,Vöruskrá!B:B,0))*C351/100000,""))</f>
        <v>0.38077899999999992</v>
      </c>
      <c r="I351" s="220">
        <f>IF(OR(B351="",C351=""),"",IFERROR(INDEX(Vöruskrá!L:L,MATCH(B351,Vöruskrá!B:B,0))*C351/100000,""))</f>
        <v>5.4397000000000008E-2</v>
      </c>
      <c r="J351" s="220">
        <f>IF(OR(B351="",C351=""),"",IFERROR(INDEX(Vöruskrá!M:M,MATCH(B351,Vöruskrá!B:B,0))*C351/100000,""))</f>
        <v>0</v>
      </c>
      <c r="K351" s="220">
        <f>IF(OR(B351="",C351=""),"",IFERROR(INDEX(Vöruskrá!N:N,MATCH(B351,Vöruskrá!B:B,0))*C351/100000,""))</f>
        <v>0</v>
      </c>
      <c r="L351" s="220">
        <f>IF(OR(B351="",C351=""),"",IFERROR(INDEX(Vöruskrá!O:O,MATCH(B351,Vöruskrá!B:B,0))*C351/100000,""))</f>
        <v>12.51131</v>
      </c>
      <c r="M351" s="220">
        <f>IF(OR(B351="",C351=""),"",IFERROR(INDEX(Vöruskrá!P:P,MATCH(B351,Vöruskrá!B:B,0))*C351/100000,""))</f>
        <v>0.16319099999999997</v>
      </c>
      <c r="N351" s="220">
        <f>IF(OR(B351="",C351=""),"",IFERROR(INDEX(Vöruskrá!Q:Q,MATCH(B351,Vöruskrá!B:B,0))*C351/100000,""))</f>
        <v>0</v>
      </c>
      <c r="O351" s="221">
        <f>IF(OR(B351="",C351=""),"",IFERROR(C351/1000*INDEX(Vöruskrá!R:R,MATCH(B351,Vöruskrá!B:B,0))/1000,""))</f>
        <v>0</v>
      </c>
      <c r="P351" s="222"/>
      <c r="Q351" s="205"/>
      <c r="R351" s="6"/>
    </row>
    <row r="352" spans="1:18">
      <c r="A352" s="224"/>
      <c r="B352" s="224" t="s">
        <v>3644</v>
      </c>
      <c r="C352" s="225">
        <v>27199</v>
      </c>
      <c r="D352" s="219">
        <f>IF(B352="","",IFERROR(INDEX(Vöruskrá!F:F,MATCH(B352,Vöruskrá!B:B,0)),""))</f>
        <v>0</v>
      </c>
      <c r="E352" s="219" t="str">
        <f>IF(B352="","",IFERROR(IF(INDEX(Vöruskrá!G:G,MATCH(B352,Vöruskrá!B:B,0))="","Engir skráðir",INDEX(Vöruskrá!G:G,MATCH(B352,Vöruskrá!B:B,0))),"Engir skráðir"))</f>
        <v>Engir skráðir</v>
      </c>
      <c r="F352" s="219">
        <f>IF(B352="","",IFERROR(INDEX(Vöruskrá!H:H,MATCH(B352,Vöruskrá!B:B,0)),""))</f>
        <v>0</v>
      </c>
      <c r="G352" s="220">
        <f>IF(OR(B352="",C352=""),"",IFERROR(INDEX(Vöruskrá!J:J,MATCH(B352,Vöruskrá!B:B,0))*C352/100000,""))</f>
        <v>0</v>
      </c>
      <c r="H352" s="220">
        <f>IF(OR(B352="",C352=""),"",IFERROR(INDEX(Vöruskrá!K:K,MATCH(B352,Vöruskrá!B:B,0))*C352/100000,""))</f>
        <v>0</v>
      </c>
      <c r="I352" s="220">
        <f>IF(OR(B352="",C352=""),"",IFERROR(INDEX(Vöruskrá!L:L,MATCH(B352,Vöruskrá!B:B,0))*C352/100000,""))</f>
        <v>0</v>
      </c>
      <c r="J352" s="220">
        <f>IF(OR(B352="",C352=""),"",IFERROR(INDEX(Vöruskrá!M:M,MATCH(B352,Vöruskrá!B:B,0))*C352/100000,""))</f>
        <v>0</v>
      </c>
      <c r="K352" s="220">
        <f>IF(OR(B352="",C352=""),"",IFERROR(INDEX(Vöruskrá!N:N,MATCH(B352,Vöruskrá!B:B,0))*C352/100000,""))</f>
        <v>0</v>
      </c>
      <c r="L352" s="220">
        <f>IF(OR(B352="",C352=""),"",IFERROR(INDEX(Vöruskrá!O:O,MATCH(B352,Vöruskrá!B:B,0))*C352/100000,""))</f>
        <v>0</v>
      </c>
      <c r="M352" s="220">
        <f>IF(OR(B352="",C352=""),"",IFERROR(INDEX(Vöruskrá!P:P,MATCH(B352,Vöruskrá!B:B,0))*C352/100000,""))</f>
        <v>0</v>
      </c>
      <c r="N352" s="220">
        <f>IF(OR(B352="",C352=""),"",IFERROR(INDEX(Vöruskrá!Q:Q,MATCH(B352,Vöruskrá!B:B,0))*C352/100000,""))</f>
        <v>0</v>
      </c>
      <c r="O352" s="221">
        <f>IF(OR(B352="",C352=""),"",IFERROR(C352/1000*INDEX(Vöruskrá!R:R,MATCH(B352,Vöruskrá!B:B,0))/1000,""))</f>
        <v>0</v>
      </c>
      <c r="P352" s="224"/>
      <c r="Q352" s="204"/>
      <c r="R352" s="27"/>
    </row>
    <row r="353" spans="1:18">
      <c r="A353" s="222"/>
      <c r="B353" s="222" t="s">
        <v>3645</v>
      </c>
      <c r="C353" s="223">
        <v>9066</v>
      </c>
      <c r="D353" s="219">
        <f>IF(B353="","",IFERROR(INDEX(Vöruskrá!F:F,MATCH(B353,Vöruskrá!B:B,0)),""))</f>
        <v>0</v>
      </c>
      <c r="E353" s="219" t="str">
        <f>IF(B353="","",IFERROR(IF(INDEX(Vöruskrá!G:G,MATCH(B353,Vöruskrá!B:B,0))="","Engir skráðir",INDEX(Vöruskrá!G:G,MATCH(B353,Vöruskrá!B:B,0))),"Engir skráðir"))</f>
        <v>Engir skráðir</v>
      </c>
      <c r="F353" s="219">
        <f>IF(B353="","",IFERROR(INDEX(Vöruskrá!H:H,MATCH(B353,Vöruskrá!B:B,0)),""))</f>
        <v>0</v>
      </c>
      <c r="G353" s="220">
        <f>IF(OR(B353="",C353=""),"",IFERROR(INDEX(Vöruskrá!J:J,MATCH(B353,Vöruskrá!B:B,0))*C353/100000,""))</f>
        <v>0</v>
      </c>
      <c r="H353" s="220">
        <f>IF(OR(B353="",C353=""),"",IFERROR(INDEX(Vöruskrá!K:K,MATCH(B353,Vöruskrá!B:B,0))*C353/100000,""))</f>
        <v>0</v>
      </c>
      <c r="I353" s="220">
        <f>IF(OR(B353="",C353=""),"",IFERROR(INDEX(Vöruskrá!L:L,MATCH(B353,Vöruskrá!B:B,0))*C353/100000,""))</f>
        <v>0</v>
      </c>
      <c r="J353" s="220">
        <f>IF(OR(B353="",C353=""),"",IFERROR(INDEX(Vöruskrá!M:M,MATCH(B353,Vöruskrá!B:B,0))*C353/100000,""))</f>
        <v>0</v>
      </c>
      <c r="K353" s="220">
        <f>IF(OR(B353="",C353=""),"",IFERROR(INDEX(Vöruskrá!N:N,MATCH(B353,Vöruskrá!B:B,0))*C353/100000,""))</f>
        <v>0</v>
      </c>
      <c r="L353" s="220">
        <f>IF(OR(B353="",C353=""),"",IFERROR(INDEX(Vöruskrá!O:O,MATCH(B353,Vöruskrá!B:B,0))*C353/100000,""))</f>
        <v>0</v>
      </c>
      <c r="M353" s="220">
        <f>IF(OR(B353="",C353=""),"",IFERROR(INDEX(Vöruskrá!P:P,MATCH(B353,Vöruskrá!B:B,0))*C353/100000,""))</f>
        <v>0</v>
      </c>
      <c r="N353" s="220">
        <f>IF(OR(B353="",C353=""),"",IFERROR(INDEX(Vöruskrá!Q:Q,MATCH(B353,Vöruskrá!B:B,0))*C353/100000,""))</f>
        <v>0</v>
      </c>
      <c r="O353" s="221">
        <f>IF(OR(B353="",C353=""),"",IFERROR(C353/1000*INDEX(Vöruskrá!R:R,MATCH(B353,Vöruskrá!B:B,0))/1000,""))</f>
        <v>0</v>
      </c>
      <c r="P353" s="222"/>
      <c r="Q353" s="205"/>
      <c r="R353" s="6"/>
    </row>
    <row r="354" spans="1:18">
      <c r="A354" s="224"/>
      <c r="B354" s="224" t="s">
        <v>1058</v>
      </c>
      <c r="C354" s="225">
        <v>4533</v>
      </c>
      <c r="D354" s="219" t="str">
        <f>IF(B354="","",IFERROR(INDEX(Vöruskrá!F:F,MATCH(B354,Vöruskrá!B:B,0)),""))</f>
        <v>Rjómi (**mjólk**)</v>
      </c>
      <c r="E354" s="219" t="str">
        <f>IF(B354="","",IFERROR(IF(INDEX(Vöruskrá!G:G,MATCH(B354,Vöruskrá!B:B,0))="","Engir skráðir",INDEX(Vöruskrá!G:G,MATCH(B354,Vöruskrá!B:B,0))),"Engir skráðir"))</f>
        <v>Mjólk</v>
      </c>
      <c r="F354" s="219">
        <f>IF(B354="","",IFERROR(INDEX(Vöruskrá!H:H,MATCH(B354,Vöruskrá!B:B,0)),""))</f>
        <v>0</v>
      </c>
      <c r="G354" s="220">
        <f>IF(OR(B354="",C354=""),"",IFERROR(INDEX(Vöruskrá!J:J,MATCH(B354,Vöruskrá!B:B,0))*C354/100000,""))</f>
        <v>15.4122</v>
      </c>
      <c r="H354" s="220">
        <f>IF(OR(B354="",C354=""),"",IFERROR(INDEX(Vöruskrá!K:K,MATCH(B354,Vöruskrá!B:B,0))*C354/100000,""))</f>
        <v>1.5865499999999999</v>
      </c>
      <c r="I354" s="220">
        <f>IF(OR(B354="",C354=""),"",IFERROR(INDEX(Vöruskrá!L:L,MATCH(B354,Vöruskrá!B:B,0))*C354/100000,""))</f>
        <v>0.99726000000000004</v>
      </c>
      <c r="J354" s="220">
        <f>IF(OR(B354="",C354=""),"",IFERROR(INDEX(Vöruskrá!M:M,MATCH(B354,Vöruskrá!B:B,0))*C354/100000,""))</f>
        <v>0.13599</v>
      </c>
      <c r="K354" s="220">
        <f>IF(OR(B354="",C354=""),"",IFERROR(INDEX(Vöruskrá!N:N,MATCH(B354,Vöruskrá!B:B,0))*C354/100000,""))</f>
        <v>0.13599</v>
      </c>
      <c r="L354" s="220">
        <f>IF(OR(B354="",C354=""),"",IFERROR(INDEX(Vöruskrá!O:O,MATCH(B354,Vöruskrá!B:B,0))*C354/100000,""))</f>
        <v>0.113325</v>
      </c>
      <c r="M354" s="220">
        <f>IF(OR(B354="",C354=""),"",IFERROR(INDEX(Vöruskrá!P:P,MATCH(B354,Vöruskrá!B:B,0))*C354/100000,""))</f>
        <v>0</v>
      </c>
      <c r="N354" s="220">
        <f>IF(OR(B354="",C354=""),"",IFERROR(INDEX(Vöruskrá!Q:Q,MATCH(B354,Vöruskrá!B:B,0))*C354/100000,""))</f>
        <v>0</v>
      </c>
      <c r="O354" s="221">
        <f>IF(OR(B354="",C354=""),"",IFERROR(C354/1000*INDEX(Vöruskrá!R:R,MATCH(B354,Vöruskrá!B:B,0))/1000,""))</f>
        <v>0</v>
      </c>
      <c r="P354" s="224"/>
      <c r="Q354" s="204"/>
      <c r="R354" s="27"/>
    </row>
    <row r="355" spans="1:18">
      <c r="A355" s="222"/>
      <c r="B355" s="222" t="s">
        <v>3646</v>
      </c>
      <c r="C355" s="223">
        <v>1813</v>
      </c>
      <c r="D355" s="219">
        <f>IF(B355="","",IFERROR(INDEX(Vöruskrá!F:F,MATCH(B355,Vöruskrá!B:B,0)),""))</f>
        <v>0</v>
      </c>
      <c r="E355" s="219" t="str">
        <f>IF(B355="","",IFERROR(IF(INDEX(Vöruskrá!G:G,MATCH(B355,Vöruskrá!B:B,0))="","Engir skráðir",INDEX(Vöruskrá!G:G,MATCH(B355,Vöruskrá!B:B,0))),"Engir skráðir"))</f>
        <v>Engir skráðir</v>
      </c>
      <c r="F355" s="219">
        <f>IF(B355="","",IFERROR(INDEX(Vöruskrá!H:H,MATCH(B355,Vöruskrá!B:B,0)),""))</f>
        <v>0</v>
      </c>
      <c r="G355" s="220">
        <f>IF(OR(B355="",C355=""),"",IFERROR(INDEX(Vöruskrá!J:J,MATCH(B355,Vöruskrá!B:B,0))*C355/100000,""))</f>
        <v>0</v>
      </c>
      <c r="H355" s="220">
        <f>IF(OR(B355="",C355=""),"",IFERROR(INDEX(Vöruskrá!K:K,MATCH(B355,Vöruskrá!B:B,0))*C355/100000,""))</f>
        <v>0</v>
      </c>
      <c r="I355" s="220">
        <f>IF(OR(B355="",C355=""),"",IFERROR(INDEX(Vöruskrá!L:L,MATCH(B355,Vöruskrá!B:B,0))*C355/100000,""))</f>
        <v>0</v>
      </c>
      <c r="J355" s="220">
        <f>IF(OR(B355="",C355=""),"",IFERROR(INDEX(Vöruskrá!M:M,MATCH(B355,Vöruskrá!B:B,0))*C355/100000,""))</f>
        <v>0</v>
      </c>
      <c r="K355" s="220">
        <f>IF(OR(B355="",C355=""),"",IFERROR(INDEX(Vöruskrá!N:N,MATCH(B355,Vöruskrá!B:B,0))*C355/100000,""))</f>
        <v>0</v>
      </c>
      <c r="L355" s="220">
        <f>IF(OR(B355="",C355=""),"",IFERROR(INDEX(Vöruskrá!O:O,MATCH(B355,Vöruskrá!B:B,0))*C355/100000,""))</f>
        <v>0</v>
      </c>
      <c r="M355" s="220">
        <f>IF(OR(B355="",C355=""),"",IFERROR(INDEX(Vöruskrá!P:P,MATCH(B355,Vöruskrá!B:B,0))*C355/100000,""))</f>
        <v>0</v>
      </c>
      <c r="N355" s="220">
        <f>IF(OR(B355="",C355=""),"",IFERROR(INDEX(Vöruskrá!Q:Q,MATCH(B355,Vöruskrá!B:B,0))*C355/100000,""))</f>
        <v>0</v>
      </c>
      <c r="O355" s="221">
        <f>IF(OR(B355="",C355=""),"",IFERROR(C355/1000*INDEX(Vöruskrá!R:R,MATCH(B355,Vöruskrá!B:B,0))/1000,""))</f>
        <v>0</v>
      </c>
      <c r="P355" s="222"/>
      <c r="Q355" s="205"/>
      <c r="R355" s="6"/>
    </row>
    <row r="356" spans="1:18">
      <c r="A356" s="224"/>
      <c r="B356" s="224" t="s">
        <v>489</v>
      </c>
      <c r="C356" s="225">
        <v>1360</v>
      </c>
      <c r="D356" s="219" t="str">
        <f>IF(B356="","",IFERROR(INDEX(Vöruskrá!F:F,MATCH(B356,Vöruskrá!B:B,0)),""))</f>
        <v>Salt, chilipipar, kúmen, hvítlaukur, svartur pipar, cayennepipar, laukur, engifer, sykur, sýrustillir (sítrónusýra), kekkjavarnarefni (E552), repjuolía, kryddþykkni.</v>
      </c>
      <c r="E356" s="219" t="str">
        <f>IF(B356="","",IFERROR(IF(INDEX(Vöruskrá!G:G,MATCH(B356,Vöruskrá!B:B,0))="","Engir skráðir",INDEX(Vöruskrá!G:G,MATCH(B356,Vöruskrá!B:B,0))),"Engir skráðir"))</f>
        <v>Engir skráðir</v>
      </c>
      <c r="F356" s="219" t="str">
        <f>IF(B356="","",IFERROR(INDEX(Vöruskrá!H:H,MATCH(B356,Vöruskrá!B:B,0)),""))</f>
        <v>Framleitt á svæði þar sem unnið er með glúten, fisk, krabbadýr, lindýr, mjólk, soja, sellerí, sinnep og sesam.</v>
      </c>
      <c r="G356" s="220">
        <f>IF(OR(B356="",C356=""),"",IFERROR(INDEX(Vöruskrá!J:J,MATCH(B356,Vöruskrá!B:B,0))*C356/100000,""))</f>
        <v>3.0192000000000001</v>
      </c>
      <c r="H356" s="220">
        <f>IF(OR(B356="",C356=""),"",IFERROR(INDEX(Vöruskrá!K:K,MATCH(B356,Vöruskrá!B:B,0))*C356/100000,""))</f>
        <v>8.1600000000000006E-2</v>
      </c>
      <c r="I356" s="220">
        <f>IF(OR(B356="",C356=""),"",IFERROR(INDEX(Vöruskrá!L:L,MATCH(B356,Vöruskrá!B:B,0))*C356/100000,""))</f>
        <v>1.2239999999999999E-2</v>
      </c>
      <c r="J356" s="220">
        <f>IF(OR(B356="",C356=""),"",IFERROR(INDEX(Vöruskrá!M:M,MATCH(B356,Vöruskrá!B:B,0))*C356/100000,""))</f>
        <v>0.40799999999999997</v>
      </c>
      <c r="K356" s="220">
        <f>IF(OR(B356="",C356=""),"",IFERROR(INDEX(Vöruskrá!N:N,MATCH(B356,Vöruskrá!B:B,0))*C356/100000,""))</f>
        <v>6.2559999999999991E-2</v>
      </c>
      <c r="L356" s="220">
        <f>IF(OR(B356="",C356=""),"",IFERROR(INDEX(Vöruskrá!O:O,MATCH(B356,Vöruskrá!B:B,0))*C356/100000,""))</f>
        <v>9.6560000000000007E-2</v>
      </c>
      <c r="M356" s="220">
        <f>IF(OR(B356="",C356=""),"",IFERROR(INDEX(Vöruskrá!P:P,MATCH(B356,Vöruskrá!B:B,0))*C356/100000,""))</f>
        <v>0.61199999999999999</v>
      </c>
      <c r="N356" s="220">
        <f>IF(OR(B356="",C356=""),"",IFERROR(INDEX(Vöruskrá!Q:Q,MATCH(B356,Vöruskrá!B:B,0))*C356/100000,""))</f>
        <v>0</v>
      </c>
      <c r="O356" s="221">
        <f>IF(OR(B356="",C356=""),"",IFERROR(C356/1000*INDEX(Vöruskrá!R:R,MATCH(B356,Vöruskrá!B:B,0))/1000,""))</f>
        <v>0</v>
      </c>
      <c r="P356" s="224"/>
      <c r="Q356" s="204"/>
      <c r="R356" s="27"/>
    </row>
    <row r="357" spans="1:18">
      <c r="A357" s="222"/>
      <c r="B357" s="222" t="s">
        <v>299</v>
      </c>
      <c r="C357" s="223">
        <v>725</v>
      </c>
      <c r="D357" s="219" t="str">
        <f>IF(B357="","",IFERROR(INDEX(Vöruskrá!F:F,MATCH(B357,Vöruskrá!B:B,0)),""))</f>
        <v>Salt (salt, kekkjavarnarefni E535, lyftiefni E500).</v>
      </c>
      <c r="E357" s="219" t="str">
        <f>IF(B357="","",IFERROR(IF(INDEX(Vöruskrá!G:G,MATCH(B357,Vöruskrá!B:B,0))="","Engir skráðir",INDEX(Vöruskrá!G:G,MATCH(B357,Vöruskrá!B:B,0))),"Engir skráðir"))</f>
        <v>Engir skráðir</v>
      </c>
      <c r="F357" s="219" t="str">
        <f>IF(B357="","",IFERROR(INDEX(Vöruskrá!H:H,MATCH(B357,Vöruskrá!B:B,0)),""))</f>
        <v>Framleitt á svæði þar sem unnið er með mjólk, glúten, egg, sesam, sellerí, soja og sinnep.</v>
      </c>
      <c r="G357" s="220">
        <f>IF(OR(B357="",C357=""),"",IFERROR(INDEX(Vöruskrá!J:J,MATCH(B357,Vöruskrá!B:B,0))*C357/100000,""))</f>
        <v>0</v>
      </c>
      <c r="H357" s="220">
        <f>IF(OR(B357="",C357=""),"",IFERROR(INDEX(Vöruskrá!K:K,MATCH(B357,Vöruskrá!B:B,0))*C357/100000,""))</f>
        <v>0</v>
      </c>
      <c r="I357" s="220">
        <f>IF(OR(B357="",C357=""),"",IFERROR(INDEX(Vöruskrá!L:L,MATCH(B357,Vöruskrá!B:B,0))*C357/100000,""))</f>
        <v>0</v>
      </c>
      <c r="J357" s="220">
        <f>IF(OR(B357="",C357=""),"",IFERROR(INDEX(Vöruskrá!M:M,MATCH(B357,Vöruskrá!B:B,0))*C357/100000,""))</f>
        <v>0</v>
      </c>
      <c r="K357" s="220">
        <f>IF(OR(B357="",C357=""),"",IFERROR(INDEX(Vöruskrá!N:N,MATCH(B357,Vöruskrá!B:B,0))*C357/100000,""))</f>
        <v>0</v>
      </c>
      <c r="L357" s="220">
        <f>IF(OR(B357="",C357=""),"",IFERROR(INDEX(Vöruskrá!O:O,MATCH(B357,Vöruskrá!B:B,0))*C357/100000,""))</f>
        <v>0</v>
      </c>
      <c r="M357" s="220">
        <f>IF(OR(B357="",C357=""),"",IFERROR(INDEX(Vöruskrá!P:P,MATCH(B357,Vöruskrá!B:B,0))*C357/100000,""))</f>
        <v>0.72499999999999998</v>
      </c>
      <c r="N357" s="220">
        <f>IF(OR(B357="",C357=""),"",IFERROR(INDEX(Vöruskrá!Q:Q,MATCH(B357,Vöruskrá!B:B,0))*C357/100000,""))</f>
        <v>0</v>
      </c>
      <c r="O357" s="221">
        <f>IF(OR(B357="",C357=""),"",IFERROR(C357/1000*INDEX(Vöruskrá!R:R,MATCH(B357,Vöruskrá!B:B,0))/1000,""))</f>
        <v>0</v>
      </c>
      <c r="P357" s="222"/>
      <c r="Q357" s="205"/>
      <c r="R357" s="6"/>
    </row>
    <row r="358" spans="1:18">
      <c r="A358" s="224"/>
      <c r="B358" s="224" t="s">
        <v>3647</v>
      </c>
      <c r="C358" s="225">
        <v>907</v>
      </c>
      <c r="D358" s="219">
        <f>IF(B358="","",IFERROR(INDEX(Vöruskrá!F:F,MATCH(B358,Vöruskrá!B:B,0)),""))</f>
        <v>0</v>
      </c>
      <c r="E358" s="219" t="str">
        <f>IF(B358="","",IFERROR(IF(INDEX(Vöruskrá!G:G,MATCH(B358,Vöruskrá!B:B,0))="","Engir skráðir",INDEX(Vöruskrá!G:G,MATCH(B358,Vöruskrá!B:B,0))),"Engir skráðir"))</f>
        <v>Engir skráðir</v>
      </c>
      <c r="F358" s="219">
        <f>IF(B358="","",IFERROR(INDEX(Vöruskrá!H:H,MATCH(B358,Vöruskrá!B:B,0)),""))</f>
        <v>0</v>
      </c>
      <c r="G358" s="220">
        <f>IF(OR(B358="",C358=""),"",IFERROR(INDEX(Vöruskrá!J:J,MATCH(B358,Vöruskrá!B:B,0))*C358/100000,""))</f>
        <v>0</v>
      </c>
      <c r="H358" s="220">
        <f>IF(OR(B358="",C358=""),"",IFERROR(INDEX(Vöruskrá!K:K,MATCH(B358,Vöruskrá!B:B,0))*C358/100000,""))</f>
        <v>0</v>
      </c>
      <c r="I358" s="220">
        <f>IF(OR(B358="",C358=""),"",IFERROR(INDEX(Vöruskrá!L:L,MATCH(B358,Vöruskrá!B:B,0))*C358/100000,""))</f>
        <v>0</v>
      </c>
      <c r="J358" s="220">
        <f>IF(OR(B358="",C358=""),"",IFERROR(INDEX(Vöruskrá!M:M,MATCH(B358,Vöruskrá!B:B,0))*C358/100000,""))</f>
        <v>0</v>
      </c>
      <c r="K358" s="220">
        <f>IF(OR(B358="",C358=""),"",IFERROR(INDEX(Vöruskrá!N:N,MATCH(B358,Vöruskrá!B:B,0))*C358/100000,""))</f>
        <v>0</v>
      </c>
      <c r="L358" s="220">
        <f>IF(OR(B358="",C358=""),"",IFERROR(INDEX(Vöruskrá!O:O,MATCH(B358,Vöruskrá!B:B,0))*C358/100000,""))</f>
        <v>0</v>
      </c>
      <c r="M358" s="220">
        <f>IF(OR(B358="",C358=""),"",IFERROR(INDEX(Vöruskrá!P:P,MATCH(B358,Vöruskrá!B:B,0))*C358/100000,""))</f>
        <v>0</v>
      </c>
      <c r="N358" s="220">
        <f>IF(OR(B358="",C358=""),"",IFERROR(INDEX(Vöruskrá!Q:Q,MATCH(B358,Vöruskrá!B:B,0))*C358/100000,""))</f>
        <v>0</v>
      </c>
      <c r="O358" s="221">
        <f>IF(OR(B358="",C358=""),"",IFERROR(C358/1000*INDEX(Vöruskrá!R:R,MATCH(B358,Vöruskrá!B:B,0))/1000,""))</f>
        <v>0</v>
      </c>
      <c r="P358" s="224"/>
      <c r="Q358" s="204"/>
      <c r="R358" s="27"/>
    </row>
    <row r="359" spans="1:18" ht="26">
      <c r="A359" s="176" t="s">
        <v>3718</v>
      </c>
      <c r="B359" s="176"/>
      <c r="C359" s="177"/>
      <c r="D359" s="216" t="str">
        <f>_xlfn.TEXTJOIN(" | ",TRUE,D360:D366)</f>
        <v>Ýsa | 0 | 0 | **Mjólk**. Fitusprengd og gerilsneydd. | 0 | Salt (salt, kekkjavarnarefni E535, lyftiefni E500). | Repjuolía</v>
      </c>
      <c r="E359" s="216" t="str" cm="1">
        <f t="array" ref="E359">IFERROR(_xlfn.TEXTJOIN(", ",TRUE,_xlfn.UNIQUE(_xlfn._xlws.FILTER(E360:E366,(E360:E366&lt;&gt;"Engir skráðir")*(E360:E366&lt;&gt;"")))),"Engir skráðir")</f>
        <v>Fiskur, Mjólk</v>
      </c>
      <c r="F359" s="216"/>
      <c r="G359" s="217">
        <f>IFERROR(SUM(G360:G366)/(SUM($C$360:$C$366)/100000),"")</f>
        <v>121.08417915820841</v>
      </c>
      <c r="H359" s="217">
        <f>IFERROR(SUM(H360:H366)/(SUM($C$360:$C$366)/100000),"")</f>
        <v>5.42921270787292</v>
      </c>
      <c r="I359" s="217">
        <f>IFERROR(SUM(I360:I366)/(SUM($C$360:$C$366)/100000),"")</f>
        <v>0.51414785852141476</v>
      </c>
      <c r="J359" s="217">
        <f>IFERROR(SUM(J360:J366)/(SUM($C$360:$C$366)/100000),"")</f>
        <v>3.2877161228387717</v>
      </c>
      <c r="K359" s="217">
        <f>IFERROR(SUM(K360:K366)/(SUM($C$360:$C$366)/100000),"")</f>
        <v>1.5188588114118859</v>
      </c>
      <c r="L359" s="217">
        <f>IFERROR(SUM(L360:L366)/(SUM($C$360:$C$366)/100000),"")</f>
        <v>17.514045859541401</v>
      </c>
      <c r="M359" s="217">
        <f>IFERROR(SUM(M360:M366)/(SUM($C$360:$C$366)/100000),"")</f>
        <v>0.98612313876861213</v>
      </c>
      <c r="N359" s="217">
        <f>IFERROR(SUM(N360:N366)/(SUM($C$360:$C$366)/100000),"")</f>
        <v>0</v>
      </c>
      <c r="O359" s="218" t="str">
        <f>IF(OR(B359="",C359=""),"",IFERROR(C359/1000*INDEX(Vöruskrá!R:R,MATCH(B359,Vöruskrá!B:B,0))/1000,""))</f>
        <v/>
      </c>
      <c r="P359" s="176" t="s">
        <v>3719</v>
      </c>
      <c r="Q359" s="205"/>
      <c r="R359" s="6"/>
    </row>
    <row r="360" spans="1:18">
      <c r="A360" s="222"/>
      <c r="B360" s="222" t="s">
        <v>926</v>
      </c>
      <c r="C360" s="223">
        <v>75472</v>
      </c>
      <c r="D360" s="219" t="str">
        <f>IF(B360="","",IFERROR(INDEX(Vöruskrá!F:F,MATCH(B360,Vöruskrá!B:B,0)),""))</f>
        <v>Ýsa</v>
      </c>
      <c r="E360" s="219" t="str">
        <f>IF(B360="","",IFERROR(IF(INDEX(Vöruskrá!G:G,MATCH(B360,Vöruskrá!B:B,0))="","Engir skráðir",INDEX(Vöruskrá!G:G,MATCH(B360,Vöruskrá!B:B,0))),"Engir skráðir"))</f>
        <v>Fiskur</v>
      </c>
      <c r="F360" s="219">
        <f>IF(B360="","",IFERROR(INDEX(Vöruskrá!H:H,MATCH(B360,Vöruskrá!B:B,0)),""))</f>
        <v>0</v>
      </c>
      <c r="G360" s="220">
        <f>IF(OR(B360="",C360=""),"",IFERROR(INDEX(Vöruskrá!J:J,MATCH(B360,Vöruskrá!B:B,0))*C360/100000,""))</f>
        <v>75.471999999999994</v>
      </c>
      <c r="H360" s="220">
        <f>IF(OR(B360="",C360=""),"",IFERROR(INDEX(Vöruskrá!K:K,MATCH(B360,Vöruskrá!B:B,0))*C360/100000,""))</f>
        <v>0.528304</v>
      </c>
      <c r="I360" s="220">
        <f>IF(OR(B360="",C360=""),"",IFERROR(INDEX(Vöruskrá!L:L,MATCH(B360,Vöruskrá!B:B,0))*C360/100000,""))</f>
        <v>7.5472000000000011E-2</v>
      </c>
      <c r="J360" s="220">
        <f>IF(OR(B360="",C360=""),"",IFERROR(INDEX(Vöruskrá!M:M,MATCH(B360,Vöruskrá!B:B,0))*C360/100000,""))</f>
        <v>0</v>
      </c>
      <c r="K360" s="220">
        <f>IF(OR(B360="",C360=""),"",IFERROR(INDEX(Vöruskrá!N:N,MATCH(B360,Vöruskrá!B:B,0))*C360/100000,""))</f>
        <v>0</v>
      </c>
      <c r="L360" s="220">
        <f>IF(OR(B360="",C360=""),"",IFERROR(INDEX(Vöruskrá!O:O,MATCH(B360,Vöruskrá!B:B,0))*C360/100000,""))</f>
        <v>17.358560000000001</v>
      </c>
      <c r="M360" s="220">
        <f>IF(OR(B360="",C360=""),"",IFERROR(INDEX(Vöruskrá!P:P,MATCH(B360,Vöruskrá!B:B,0))*C360/100000,""))</f>
        <v>0.22641599999999998</v>
      </c>
      <c r="N360" s="220">
        <f>IF(OR(B360="",C360=""),"",IFERROR(INDEX(Vöruskrá!Q:Q,MATCH(B360,Vöruskrá!B:B,0))*C360/100000,""))</f>
        <v>0</v>
      </c>
      <c r="O360" s="221">
        <f>IF(OR(B360="",C360=""),"",IFERROR(C360/1000*INDEX(Vöruskrá!R:R,MATCH(B360,Vöruskrá!B:B,0))/1000,""))</f>
        <v>0</v>
      </c>
      <c r="P360" s="222"/>
      <c r="Q360" s="204"/>
      <c r="R360" s="27"/>
    </row>
    <row r="361" spans="1:18">
      <c r="A361" s="224"/>
      <c r="B361" s="224" t="s">
        <v>3640</v>
      </c>
      <c r="C361" s="225">
        <v>9434</v>
      </c>
      <c r="D361" s="219">
        <f>IF(B361="","",IFERROR(INDEX(Vöruskrá!F:F,MATCH(B361,Vöruskrá!B:B,0)),""))</f>
        <v>0</v>
      </c>
      <c r="E361" s="219" t="str">
        <f>IF(B361="","",IFERROR(IF(INDEX(Vöruskrá!G:G,MATCH(B361,Vöruskrá!B:B,0))="","Engir skráðir",INDEX(Vöruskrá!G:G,MATCH(B361,Vöruskrá!B:B,0))),"Engir skráðir"))</f>
        <v>Engir skráðir</v>
      </c>
      <c r="F361" s="219">
        <f>IF(B361="","",IFERROR(INDEX(Vöruskrá!H:H,MATCH(B361,Vöruskrá!B:B,0)),""))</f>
        <v>0</v>
      </c>
      <c r="G361" s="220">
        <f>IF(OR(B361="",C361=""),"",IFERROR(INDEX(Vöruskrá!J:J,MATCH(B361,Vöruskrá!B:B,0))*C361/100000,""))</f>
        <v>0</v>
      </c>
      <c r="H361" s="220">
        <f>IF(OR(B361="",C361=""),"",IFERROR(INDEX(Vöruskrá!K:K,MATCH(B361,Vöruskrá!B:B,0))*C361/100000,""))</f>
        <v>0</v>
      </c>
      <c r="I361" s="220">
        <f>IF(OR(B361="",C361=""),"",IFERROR(INDEX(Vöruskrá!L:L,MATCH(B361,Vöruskrá!B:B,0))*C361/100000,""))</f>
        <v>0</v>
      </c>
      <c r="J361" s="220">
        <f>IF(OR(B361="",C361=""),"",IFERROR(INDEX(Vöruskrá!M:M,MATCH(B361,Vöruskrá!B:B,0))*C361/100000,""))</f>
        <v>0</v>
      </c>
      <c r="K361" s="220">
        <f>IF(OR(B361="",C361=""),"",IFERROR(INDEX(Vöruskrá!N:N,MATCH(B361,Vöruskrá!B:B,0))*C361/100000,""))</f>
        <v>0</v>
      </c>
      <c r="L361" s="220">
        <f>IF(OR(B361="",C361=""),"",IFERROR(INDEX(Vöruskrá!O:O,MATCH(B361,Vöruskrá!B:B,0))*C361/100000,""))</f>
        <v>0</v>
      </c>
      <c r="M361" s="220">
        <f>IF(OR(B361="",C361=""),"",IFERROR(INDEX(Vöruskrá!P:P,MATCH(B361,Vöruskrá!B:B,0))*C361/100000,""))</f>
        <v>0</v>
      </c>
      <c r="N361" s="220">
        <f>IF(OR(B361="",C361=""),"",IFERROR(INDEX(Vöruskrá!Q:Q,MATCH(B361,Vöruskrá!B:B,0))*C361/100000,""))</f>
        <v>0</v>
      </c>
      <c r="O361" s="221">
        <f>IF(OR(B361="",C361=""),"",IFERROR(C361/1000*INDEX(Vöruskrá!R:R,MATCH(B361,Vöruskrá!B:B,0))/1000,""))</f>
        <v>0</v>
      </c>
      <c r="P361" s="224"/>
      <c r="Q361" s="205"/>
      <c r="R361" s="6"/>
    </row>
    <row r="362" spans="1:18">
      <c r="A362" s="222"/>
      <c r="B362" s="222" t="s">
        <v>2420</v>
      </c>
      <c r="C362" s="223">
        <v>4717</v>
      </c>
      <c r="D362" s="219">
        <f>IF(B362="","",IFERROR(INDEX(Vöruskrá!F:F,MATCH(B362,Vöruskrá!B:B,0)),""))</f>
        <v>0</v>
      </c>
      <c r="E362" s="219" t="str">
        <f>IF(B362="","",IFERROR(IF(INDEX(Vöruskrá!G:G,MATCH(B362,Vöruskrá!B:B,0))="","Engir skráðir",INDEX(Vöruskrá!G:G,MATCH(B362,Vöruskrá!B:B,0))),"Engir skráðir"))</f>
        <v>Engir skráðir</v>
      </c>
      <c r="F362" s="219">
        <f>IF(B362="","",IFERROR(INDEX(Vöruskrá!H:H,MATCH(B362,Vöruskrá!B:B,0)),""))</f>
        <v>0</v>
      </c>
      <c r="G362" s="220">
        <f>IF(OR(B362="",C362=""),"",IFERROR(INDEX(Vöruskrá!J:J,MATCH(B362,Vöruskrá!B:B,0))*C362/100000,""))</f>
        <v>0</v>
      </c>
      <c r="H362" s="220">
        <f>IF(OR(B362="",C362=""),"",IFERROR(INDEX(Vöruskrá!K:K,MATCH(B362,Vöruskrá!B:B,0))*C362/100000,""))</f>
        <v>0</v>
      </c>
      <c r="I362" s="220">
        <f>IF(OR(B362="",C362=""),"",IFERROR(INDEX(Vöruskrá!L:L,MATCH(B362,Vöruskrá!B:B,0))*C362/100000,""))</f>
        <v>0</v>
      </c>
      <c r="J362" s="220">
        <f>IF(OR(B362="",C362=""),"",IFERROR(INDEX(Vöruskrá!M:M,MATCH(B362,Vöruskrá!B:B,0))*C362/100000,""))</f>
        <v>0</v>
      </c>
      <c r="K362" s="220">
        <f>IF(OR(B362="",C362=""),"",IFERROR(INDEX(Vöruskrá!N:N,MATCH(B362,Vöruskrá!B:B,0))*C362/100000,""))</f>
        <v>0</v>
      </c>
      <c r="L362" s="220">
        <f>IF(OR(B362="",C362=""),"",IFERROR(INDEX(Vöruskrá!O:O,MATCH(B362,Vöruskrá!B:B,0))*C362/100000,""))</f>
        <v>0</v>
      </c>
      <c r="M362" s="220">
        <f>IF(OR(B362="",C362=""),"",IFERROR(INDEX(Vöruskrá!P:P,MATCH(B362,Vöruskrá!B:B,0))*C362/100000,""))</f>
        <v>0</v>
      </c>
      <c r="N362" s="220">
        <f>IF(OR(B362="",C362=""),"",IFERROR(INDEX(Vöruskrá!Q:Q,MATCH(B362,Vöruskrá!B:B,0))*C362/100000,""))</f>
        <v>0</v>
      </c>
      <c r="O362" s="221">
        <f>IF(OR(B362="",C362=""),"",IFERROR(C362/1000*INDEX(Vöruskrá!R:R,MATCH(B362,Vöruskrá!B:B,0))/1000,""))</f>
        <v>0</v>
      </c>
      <c r="P362" s="222"/>
      <c r="Q362" s="204"/>
      <c r="R362" s="27"/>
    </row>
    <row r="363" spans="1:18">
      <c r="A363" s="224"/>
      <c r="B363" s="224" t="s">
        <v>849</v>
      </c>
      <c r="C363" s="225">
        <v>4717</v>
      </c>
      <c r="D363" s="219" t="str">
        <f>IF(B363="","",IFERROR(INDEX(Vöruskrá!F:F,MATCH(B363,Vöruskrá!B:B,0)),""))</f>
        <v>**Mjólk**. Fitusprengd og gerilsneydd.</v>
      </c>
      <c r="E363" s="219" t="str">
        <f>IF(B363="","",IFERROR(IF(INDEX(Vöruskrá!G:G,MATCH(B363,Vöruskrá!B:B,0))="","Engir skráðir",INDEX(Vöruskrá!G:G,MATCH(B363,Vöruskrá!B:B,0))),"Engir skráðir"))</f>
        <v>Mjólk</v>
      </c>
      <c r="F363" s="219">
        <f>IF(B363="","",IFERROR(INDEX(Vöruskrá!H:H,MATCH(B363,Vöruskrá!B:B,0)),""))</f>
        <v>0</v>
      </c>
      <c r="G363" s="220">
        <f>IF(OR(B363="",C363=""),"",IFERROR(INDEX(Vöruskrá!J:J,MATCH(B363,Vöruskrá!B:B,0))*C363/100000,""))</f>
        <v>3.16039</v>
      </c>
      <c r="H363" s="220">
        <f>IF(OR(B363="",C363=""),"",IFERROR(INDEX(Vöruskrá!K:K,MATCH(B363,Vöruskrá!B:B,0))*C363/100000,""))</f>
        <v>0.18396299999999999</v>
      </c>
      <c r="I363" s="220">
        <f>IF(OR(B363="",C363=""),"",IFERROR(INDEX(Vöruskrá!L:L,MATCH(B363,Vöruskrá!B:B,0))*C363/100000,""))</f>
        <v>0.10849099999999999</v>
      </c>
      <c r="J363" s="220">
        <f>IF(OR(B363="",C363=""),"",IFERROR(INDEX(Vöruskrá!M:M,MATCH(B363,Vöruskrá!B:B,0))*C363/100000,""))</f>
        <v>0.22169900000000001</v>
      </c>
      <c r="K363" s="220">
        <f>IF(OR(B363="",C363=""),"",IFERROR(INDEX(Vöruskrá!N:N,MATCH(B363,Vöruskrá!B:B,0))*C363/100000,""))</f>
        <v>0.22169900000000001</v>
      </c>
      <c r="L363" s="220">
        <f>IF(OR(B363="",C363=""),"",IFERROR(INDEX(Vöruskrá!O:O,MATCH(B363,Vöruskrá!B:B,0))*C363/100000,""))</f>
        <v>0.15566099999999999</v>
      </c>
      <c r="M363" s="220">
        <f>IF(OR(B363="",C363=""),"",IFERROR(INDEX(Vöruskrá!P:P,MATCH(B363,Vöruskrá!B:B,0))*C363/100000,""))</f>
        <v>4.7170000000000007E-3</v>
      </c>
      <c r="N363" s="220">
        <f>IF(OR(B363="",C363=""),"",IFERROR(INDEX(Vöruskrá!Q:Q,MATCH(B363,Vöruskrá!B:B,0))*C363/100000,""))</f>
        <v>0</v>
      </c>
      <c r="O363" s="221">
        <f>IF(OR(B363="",C363=""),"",IFERROR(C363/1000*INDEX(Vöruskrá!R:R,MATCH(B363,Vöruskrá!B:B,0))/1000,""))</f>
        <v>0</v>
      </c>
      <c r="P363" s="224"/>
      <c r="Q363" s="205"/>
      <c r="R363" s="6"/>
    </row>
    <row r="364" spans="1:18">
      <c r="A364" s="222"/>
      <c r="B364" s="222" t="s">
        <v>3648</v>
      </c>
      <c r="C364" s="223">
        <v>189</v>
      </c>
      <c r="D364" s="219">
        <f>IF(B364="","",IFERROR(INDEX(Vöruskrá!F:F,MATCH(B364,Vöruskrá!B:B,0)),""))</f>
        <v>0</v>
      </c>
      <c r="E364" s="219" t="str">
        <f>IF(B364="","",IFERROR(IF(INDEX(Vöruskrá!G:G,MATCH(B364,Vöruskrá!B:B,0))="","Engir skráðir",INDEX(Vöruskrá!G:G,MATCH(B364,Vöruskrá!B:B,0))),"Engir skráðir"))</f>
        <v>Engir skráðir</v>
      </c>
      <c r="F364" s="219">
        <f>IF(B364="","",IFERROR(INDEX(Vöruskrá!H:H,MATCH(B364,Vöruskrá!B:B,0)),""))</f>
        <v>0</v>
      </c>
      <c r="G364" s="220">
        <f>IF(OR(B364="",C364=""),"",IFERROR(INDEX(Vöruskrá!J:J,MATCH(B364,Vöruskrá!B:B,0))*C364/100000,""))</f>
        <v>0</v>
      </c>
      <c r="H364" s="220">
        <f>IF(OR(B364="",C364=""),"",IFERROR(INDEX(Vöruskrá!K:K,MATCH(B364,Vöruskrá!B:B,0))*C364/100000,""))</f>
        <v>0</v>
      </c>
      <c r="I364" s="220">
        <f>IF(OR(B364="",C364=""),"",IFERROR(INDEX(Vöruskrá!L:L,MATCH(B364,Vöruskrá!B:B,0))*C364/100000,""))</f>
        <v>0</v>
      </c>
      <c r="J364" s="220">
        <f>IF(OR(B364="",C364=""),"",IFERROR(INDEX(Vöruskrá!M:M,MATCH(B364,Vöruskrá!B:B,0))*C364/100000,""))</f>
        <v>0</v>
      </c>
      <c r="K364" s="220">
        <f>IF(OR(B364="",C364=""),"",IFERROR(INDEX(Vöruskrá!N:N,MATCH(B364,Vöruskrá!B:B,0))*C364/100000,""))</f>
        <v>0</v>
      </c>
      <c r="L364" s="220">
        <f>IF(OR(B364="",C364=""),"",IFERROR(INDEX(Vöruskrá!O:O,MATCH(B364,Vöruskrá!B:B,0))*C364/100000,""))</f>
        <v>0</v>
      </c>
      <c r="M364" s="220">
        <f>IF(OR(B364="",C364=""),"",IFERROR(INDEX(Vöruskrá!P:P,MATCH(B364,Vöruskrá!B:B,0))*C364/100000,""))</f>
        <v>0</v>
      </c>
      <c r="N364" s="220">
        <f>IF(OR(B364="",C364=""),"",IFERROR(INDEX(Vöruskrá!Q:Q,MATCH(B364,Vöruskrá!B:B,0))*C364/100000,""))</f>
        <v>0</v>
      </c>
      <c r="O364" s="221">
        <f>IF(OR(B364="",C364=""),"",IFERROR(C364/1000*INDEX(Vöruskrá!R:R,MATCH(B364,Vöruskrá!B:B,0))/1000,""))</f>
        <v>0</v>
      </c>
      <c r="P364" s="222"/>
      <c r="Q364" s="204"/>
      <c r="R364" s="27"/>
    </row>
    <row r="365" spans="1:18">
      <c r="A365" s="224"/>
      <c r="B365" s="224" t="s">
        <v>299</v>
      </c>
      <c r="C365" s="225">
        <v>755</v>
      </c>
      <c r="D365" s="219" t="str">
        <f>IF(B365="","",IFERROR(INDEX(Vöruskrá!F:F,MATCH(B365,Vöruskrá!B:B,0)),""))</f>
        <v>Salt (salt, kekkjavarnarefni E535, lyftiefni E500).</v>
      </c>
      <c r="E365" s="219" t="str">
        <f>IF(B365="","",IFERROR(IF(INDEX(Vöruskrá!G:G,MATCH(B365,Vöruskrá!B:B,0))="","Engir skráðir",INDEX(Vöruskrá!G:G,MATCH(B365,Vöruskrá!B:B,0))),"Engir skráðir"))</f>
        <v>Engir skráðir</v>
      </c>
      <c r="F365" s="219" t="str">
        <f>IF(B365="","",IFERROR(INDEX(Vöruskrá!H:H,MATCH(B365,Vöruskrá!B:B,0)),""))</f>
        <v>Framleitt á svæði þar sem unnið er með mjólk, glúten, egg, sesam, sellerí, soja og sinnep.</v>
      </c>
      <c r="G365" s="220">
        <f>IF(OR(B365="",C365=""),"",IFERROR(INDEX(Vöruskrá!J:J,MATCH(B365,Vöruskrá!B:B,0))*C365/100000,""))</f>
        <v>0</v>
      </c>
      <c r="H365" s="220">
        <f>IF(OR(B365="",C365=""),"",IFERROR(INDEX(Vöruskrá!K:K,MATCH(B365,Vöruskrá!B:B,0))*C365/100000,""))</f>
        <v>0</v>
      </c>
      <c r="I365" s="220">
        <f>IF(OR(B365="",C365=""),"",IFERROR(INDEX(Vöruskrá!L:L,MATCH(B365,Vöruskrá!B:B,0))*C365/100000,""))</f>
        <v>0</v>
      </c>
      <c r="J365" s="220">
        <f>IF(OR(B365="",C365=""),"",IFERROR(INDEX(Vöruskrá!M:M,MATCH(B365,Vöruskrá!B:B,0))*C365/100000,""))</f>
        <v>0</v>
      </c>
      <c r="K365" s="220">
        <f>IF(OR(B365="",C365=""),"",IFERROR(INDEX(Vöruskrá!N:N,MATCH(B365,Vöruskrá!B:B,0))*C365/100000,""))</f>
        <v>0</v>
      </c>
      <c r="L365" s="220">
        <f>IF(OR(B365="",C365=""),"",IFERROR(INDEX(Vöruskrá!O:O,MATCH(B365,Vöruskrá!B:B,0))*C365/100000,""))</f>
        <v>0</v>
      </c>
      <c r="M365" s="220">
        <f>IF(OR(B365="",C365=""),"",IFERROR(INDEX(Vöruskrá!P:P,MATCH(B365,Vöruskrá!B:B,0))*C365/100000,""))</f>
        <v>0.755</v>
      </c>
      <c r="N365" s="220">
        <f>IF(OR(B365="",C365=""),"",IFERROR(INDEX(Vöruskrá!Q:Q,MATCH(B365,Vöruskrá!B:B,0))*C365/100000,""))</f>
        <v>0</v>
      </c>
      <c r="O365" s="221">
        <f>IF(OR(B365="",C365=""),"",IFERROR(C365/1000*INDEX(Vöruskrá!R:R,MATCH(B365,Vöruskrá!B:B,0))/1000,""))</f>
        <v>0</v>
      </c>
      <c r="P365" s="224"/>
      <c r="Q365" s="205"/>
      <c r="R365" s="6"/>
    </row>
    <row r="366" spans="1:18">
      <c r="A366" s="222"/>
      <c r="B366" s="222" t="s">
        <v>1270</v>
      </c>
      <c r="C366" s="223">
        <v>4717</v>
      </c>
      <c r="D366" s="219" t="str">
        <f>IF(B366="","",IFERROR(INDEX(Vöruskrá!F:F,MATCH(B366,Vöruskrá!B:B,0)),""))</f>
        <v>Repjuolía</v>
      </c>
      <c r="E366" s="219" t="str">
        <f>IF(B366="","",IFERROR(IF(INDEX(Vöruskrá!G:G,MATCH(B366,Vöruskrá!B:B,0))="","Engir skráðir",INDEX(Vöruskrá!G:G,MATCH(B366,Vöruskrá!B:B,0))),"Engir skráðir"))</f>
        <v>Engir skráðir</v>
      </c>
      <c r="F366" s="219">
        <f>IF(B366="","",IFERROR(INDEX(Vöruskrá!H:H,MATCH(B366,Vöruskrá!B:B,0)),""))</f>
        <v>0</v>
      </c>
      <c r="G366" s="220">
        <f>IF(OR(B366="",C366=""),"",IFERROR(INDEX(Vöruskrá!J:J,MATCH(B366,Vöruskrá!B:B,0))*C366/100000,""))</f>
        <v>42.453000000000003</v>
      </c>
      <c r="H366" s="220">
        <f>IF(OR(B366="",C366=""),"",IFERROR(INDEX(Vöruskrá!K:K,MATCH(B366,Vöruskrá!B:B,0))*C366/100000,""))</f>
        <v>4.7169999999999996</v>
      </c>
      <c r="I366" s="220">
        <f>IF(OR(B366="",C366=""),"",IFERROR(INDEX(Vöruskrá!L:L,MATCH(B366,Vöruskrá!B:B,0))*C366/100000,""))</f>
        <v>0.33018999999999998</v>
      </c>
      <c r="J366" s="220">
        <f>IF(OR(B366="",C366=""),"",IFERROR(INDEX(Vöruskrá!M:M,MATCH(B366,Vöruskrá!B:B,0))*C366/100000,""))</f>
        <v>3.0660500000000002</v>
      </c>
      <c r="K366" s="220">
        <f>IF(OR(B366="",C366=""),"",IFERROR(INDEX(Vöruskrá!N:N,MATCH(B366,Vöruskrá!B:B,0))*C366/100000,""))</f>
        <v>1.297175</v>
      </c>
      <c r="L366" s="220">
        <f>IF(OR(B366="",C366=""),"",IFERROR(INDEX(Vöruskrá!O:O,MATCH(B366,Vöruskrá!B:B,0))*C366/100000,""))</f>
        <v>0</v>
      </c>
      <c r="M366" s="220">
        <f>IF(OR(B366="",C366=""),"",IFERROR(INDEX(Vöruskrá!P:P,MATCH(B366,Vöruskrá!B:B,0))*C366/100000,""))</f>
        <v>0</v>
      </c>
      <c r="N366" s="220">
        <f>IF(OR(B366="",C366=""),"",IFERROR(INDEX(Vöruskrá!Q:Q,MATCH(B366,Vöruskrá!B:B,0))*C366/100000,""))</f>
        <v>0</v>
      </c>
      <c r="O366" s="221">
        <f>IF(OR(B366="",C366=""),"",IFERROR(C366/1000*INDEX(Vöruskrá!R:R,MATCH(B366,Vöruskrá!B:B,0))/1000,""))</f>
        <v>0</v>
      </c>
      <c r="P366" s="222"/>
      <c r="Q366" s="204"/>
      <c r="R366" s="27"/>
    </row>
    <row r="367" spans="1:18" ht="26">
      <c r="A367" s="176" t="s">
        <v>3720</v>
      </c>
      <c r="B367" s="176"/>
      <c r="C367" s="177"/>
      <c r="D367" s="216" t="str">
        <f>_xlfn.TEXTJOIN(" | ",TRUE,D368:D374)</f>
        <v>0 | Hvítlaukur | **Rjómi**, salt. | Þykktur sítrónusafi, vatn. | Þurrkuð steinselja (Petroselinum sativum Hoffm) | Salt (salt, kekkjavarnarefni E535, lyftiefni E500). | Svartur pipar 100% (Piper nigrum), hitaþurrkað.</v>
      </c>
      <c r="E367" s="216" t="str" cm="1">
        <f t="array" ref="E367">IFERROR(_xlfn.TEXTJOIN(", ",TRUE,_xlfn.UNIQUE(_xlfn._xlws.FILTER(E368:E374,(E368:E374&lt;&gt;"Engir skráðir")*(E368:E374&lt;&gt;"")))),"Engir skráðir")</f>
        <v>Mjólk</v>
      </c>
      <c r="F367" s="216"/>
      <c r="G367" s="217">
        <f>IFERROR(SUM(G368:G374)/(SUM($C$368:$C$374)/100000),"")</f>
        <v>41.289367106328939</v>
      </c>
      <c r="H367" s="217">
        <f>IFERROR(SUM(H368:H374)/(SUM($C$368:$C$374)/100000),"")</f>
        <v>3.7283417165828339</v>
      </c>
      <c r="I367" s="217">
        <f>IFERROR(SUM(I368:I374)/(SUM($C$368:$C$374)/100000),"")</f>
        <v>2.191118088819112</v>
      </c>
      <c r="J367" s="217">
        <f>IFERROR(SUM(J368:J374)/(SUM($C$368:$C$374)/100000),"")</f>
        <v>1.6771932280677193</v>
      </c>
      <c r="K367" s="217">
        <f>IFERROR(SUM(K368:K374)/(SUM($C$368:$C$374)/100000),"")</f>
        <v>0.13963660363396366</v>
      </c>
      <c r="L367" s="217">
        <f>IFERROR(SUM(L368:L374)/(SUM($C$368:$C$374)/100000),"")</f>
        <v>0.50060499395006053</v>
      </c>
      <c r="M367" s="217">
        <f>IFERROR(SUM(M368:M374)/(SUM($C$368:$C$374)/100000),"")</f>
        <v>0.94271357286427138</v>
      </c>
      <c r="N367" s="217">
        <f>IFERROR(SUM(N368:N374)/(SUM($C$368:$C$374)/100000),"")</f>
        <v>0.34298657013429867</v>
      </c>
      <c r="O367" s="218" t="str">
        <f>IF(OR(B367="",C367=""),"",IFERROR(C367/1000*INDEX(Vöruskrá!R:R,MATCH(B367,Vöruskrá!B:B,0))/1000,""))</f>
        <v/>
      </c>
      <c r="P367" s="176" t="s">
        <v>3721</v>
      </c>
      <c r="Q367" s="205"/>
      <c r="R367" s="6"/>
    </row>
    <row r="368" spans="1:18">
      <c r="A368" s="222"/>
      <c r="B368" s="222" t="s">
        <v>3649</v>
      </c>
      <c r="C368" s="223">
        <v>88790</v>
      </c>
      <c r="D368" s="219">
        <f>IF(B368="","",IFERROR(INDEX(Vöruskrá!F:F,MATCH(B368,Vöruskrá!B:B,0)),""))</f>
        <v>0</v>
      </c>
      <c r="E368" s="219" t="str">
        <f>IF(B368="","",IFERROR(IF(INDEX(Vöruskrá!G:G,MATCH(B368,Vöruskrá!B:B,0))="","Engir skráðir",INDEX(Vöruskrá!G:G,MATCH(B368,Vöruskrá!B:B,0))),"Engir skráðir"))</f>
        <v>Engir skráðir</v>
      </c>
      <c r="F368" s="219">
        <f>IF(B368="","",IFERROR(INDEX(Vöruskrá!H:H,MATCH(B368,Vöruskrá!B:B,0)),""))</f>
        <v>0</v>
      </c>
      <c r="G368" s="220">
        <f>IF(OR(B368="",C368=""),"",IFERROR(INDEX(Vöruskrá!J:J,MATCH(B368,Vöruskrá!B:B,0))*C368/100000,""))</f>
        <v>0</v>
      </c>
      <c r="H368" s="220">
        <f>IF(OR(B368="",C368=""),"",IFERROR(INDEX(Vöruskrá!K:K,MATCH(B368,Vöruskrá!B:B,0))*C368/100000,""))</f>
        <v>0</v>
      </c>
      <c r="I368" s="220">
        <f>IF(OR(B368="",C368=""),"",IFERROR(INDEX(Vöruskrá!L:L,MATCH(B368,Vöruskrá!B:B,0))*C368/100000,""))</f>
        <v>0</v>
      </c>
      <c r="J368" s="220">
        <f>IF(OR(B368="",C368=""),"",IFERROR(INDEX(Vöruskrá!M:M,MATCH(B368,Vöruskrá!B:B,0))*C368/100000,""))</f>
        <v>0</v>
      </c>
      <c r="K368" s="220">
        <f>IF(OR(B368="",C368=""),"",IFERROR(INDEX(Vöruskrá!N:N,MATCH(B368,Vöruskrá!B:B,0))*C368/100000,""))</f>
        <v>0</v>
      </c>
      <c r="L368" s="220">
        <f>IF(OR(B368="",C368=""),"",IFERROR(INDEX(Vöruskrá!O:O,MATCH(B368,Vöruskrá!B:B,0))*C368/100000,""))</f>
        <v>0</v>
      </c>
      <c r="M368" s="220">
        <f>IF(OR(B368="",C368=""),"",IFERROR(INDEX(Vöruskrá!P:P,MATCH(B368,Vöruskrá!B:B,0))*C368/100000,""))</f>
        <v>0</v>
      </c>
      <c r="N368" s="220">
        <f>IF(OR(B368="",C368=""),"",IFERROR(INDEX(Vöruskrá!Q:Q,MATCH(B368,Vöruskrá!B:B,0))*C368/100000,""))</f>
        <v>0</v>
      </c>
      <c r="O368" s="221">
        <f>IF(OR(B368="",C368=""),"",IFERROR(C368/1000*INDEX(Vöruskrá!R:R,MATCH(B368,Vöruskrá!B:B,0))/1000,""))</f>
        <v>0</v>
      </c>
      <c r="P368" s="222"/>
      <c r="Q368" s="204"/>
      <c r="R368" s="27"/>
    </row>
    <row r="369" spans="1:18">
      <c r="A369" s="224"/>
      <c r="B369" s="224" t="s">
        <v>1017</v>
      </c>
      <c r="C369" s="225">
        <v>2220</v>
      </c>
      <c r="D369" s="219" t="str">
        <f>IF(B369="","",IFERROR(INDEX(Vöruskrá!F:F,MATCH(B369,Vöruskrá!B:B,0)),""))</f>
        <v>Hvítlaukur</v>
      </c>
      <c r="E369" s="219" t="str">
        <f>IF(B369="","",IFERROR(IF(INDEX(Vöruskrá!G:G,MATCH(B369,Vöruskrá!B:B,0))="","Engir skráðir",INDEX(Vöruskrá!G:G,MATCH(B369,Vöruskrá!B:B,0))),"Engir skráðir"))</f>
        <v>Engir skráðir</v>
      </c>
      <c r="F369" s="219">
        <f>IF(B369="","",IFERROR(INDEX(Vöruskrá!H:H,MATCH(B369,Vöruskrá!B:B,0)),""))</f>
        <v>0</v>
      </c>
      <c r="G369" s="220">
        <f>IF(OR(B369="",C369=""),"",IFERROR(INDEX(Vöruskrá!J:J,MATCH(B369,Vöruskrá!B:B,0))*C369/100000,""))</f>
        <v>3.3077999999999999</v>
      </c>
      <c r="H369" s="220">
        <f>IF(OR(B369="",C369=""),"",IFERROR(INDEX(Vöruskrá!K:K,MATCH(B369,Vöruskrá!B:B,0))*C369/100000,""))</f>
        <v>1.11E-2</v>
      </c>
      <c r="I369" s="220">
        <f>IF(OR(B369="",C369=""),"",IFERROR(INDEX(Vöruskrá!L:L,MATCH(B369,Vöruskrá!B:B,0))*C369/100000,""))</f>
        <v>2.2200000000000002E-3</v>
      </c>
      <c r="J369" s="220">
        <f>IF(OR(B369="",C369=""),"",IFERROR(INDEX(Vöruskrá!M:M,MATCH(B369,Vöruskrá!B:B,0))*C369/100000,""))</f>
        <v>0.73482000000000003</v>
      </c>
      <c r="K369" s="220">
        <f>IF(OR(B369="",C369=""),"",IFERROR(INDEX(Vöruskrá!N:N,MATCH(B369,Vöruskrá!B:B,0))*C369/100000,""))</f>
        <v>2.2200000000000001E-2</v>
      </c>
      <c r="L369" s="220">
        <f>IF(OR(B369="",C369=""),"",IFERROR(INDEX(Vöruskrá!O:O,MATCH(B369,Vöruskrá!B:B,0))*C369/100000,""))</f>
        <v>0.14208000000000001</v>
      </c>
      <c r="M369" s="220">
        <f>IF(OR(B369="",C369=""),"",IFERROR(INDEX(Vöruskrá!P:P,MATCH(B369,Vöruskrá!B:B,0))*C369/100000,""))</f>
        <v>0</v>
      </c>
      <c r="N369" s="220">
        <f>IF(OR(B369="",C369=""),"",IFERROR(INDEX(Vöruskrá!Q:Q,MATCH(B369,Vöruskrá!B:B,0))*C369/100000,""))</f>
        <v>4.6620000000000002E-2</v>
      </c>
      <c r="O369" s="221">
        <f>IF(OR(B369="",C369=""),"",IFERROR(C369/1000*INDEX(Vöruskrá!R:R,MATCH(B369,Vöruskrá!B:B,0))/1000,""))</f>
        <v>0</v>
      </c>
      <c r="P369" s="224"/>
      <c r="Q369" s="205"/>
      <c r="R369" s="6"/>
    </row>
    <row r="370" spans="1:18">
      <c r="A370" s="222"/>
      <c r="B370" s="222" t="s">
        <v>445</v>
      </c>
      <c r="C370" s="223">
        <v>4440</v>
      </c>
      <c r="D370" s="219" t="str">
        <f>IF(B370="","",IFERROR(INDEX(Vöruskrá!F:F,MATCH(B370,Vöruskrá!B:B,0)),""))</f>
        <v>**Rjómi**, salt.</v>
      </c>
      <c r="E370" s="219" t="str">
        <f>IF(B370="","",IFERROR(IF(INDEX(Vöruskrá!G:G,MATCH(B370,Vöruskrá!B:B,0))="","Engir skráðir",INDEX(Vöruskrá!G:G,MATCH(B370,Vöruskrá!B:B,0))),"Engir skráðir"))</f>
        <v>Mjólk</v>
      </c>
      <c r="F370" s="219">
        <f>IF(B370="","",IFERROR(INDEX(Vöruskrá!H:H,MATCH(B370,Vöruskrá!B:B,0)),""))</f>
        <v>0</v>
      </c>
      <c r="G370" s="220">
        <f>IF(OR(B370="",C370=""),"",IFERROR(INDEX(Vöruskrá!J:J,MATCH(B370,Vöruskrá!B:B,0))*C370/100000,""))</f>
        <v>32.767200000000003</v>
      </c>
      <c r="H370" s="220">
        <f>IF(OR(B370="",C370=""),"",IFERROR(INDEX(Vöruskrá!K:K,MATCH(B370,Vöruskrá!B:B,0))*C370/100000,""))</f>
        <v>3.6408</v>
      </c>
      <c r="I370" s="220">
        <f>IF(OR(B370="",C370=""),"",IFERROR(INDEX(Vöruskrá!L:L,MATCH(B370,Vöruskrá!B:B,0))*C370/100000,""))</f>
        <v>2.1756000000000002</v>
      </c>
      <c r="J370" s="220">
        <f>IF(OR(B370="",C370=""),"",IFERROR(INDEX(Vöruskrá!M:M,MATCH(B370,Vöruskrá!B:B,0))*C370/100000,""))</f>
        <v>1.7760000000000001E-2</v>
      </c>
      <c r="K370" s="220">
        <f>IF(OR(B370="",C370=""),"",IFERROR(INDEX(Vöruskrá!N:N,MATCH(B370,Vöruskrá!B:B,0))*C370/100000,""))</f>
        <v>1.7760000000000001E-2</v>
      </c>
      <c r="L370" s="220">
        <f>IF(OR(B370="",C370=""),"",IFERROR(INDEX(Vöruskrá!O:O,MATCH(B370,Vöruskrá!B:B,0))*C370/100000,""))</f>
        <v>2.664E-2</v>
      </c>
      <c r="M370" s="220">
        <f>IF(OR(B370="",C370=""),"",IFERROR(INDEX(Vöruskrá!P:P,MATCH(B370,Vöruskrá!B:B,0))*C370/100000,""))</f>
        <v>5.3280000000000001E-2</v>
      </c>
      <c r="N370" s="220">
        <f>IF(OR(B370="",C370=""),"",IFERROR(INDEX(Vöruskrá!Q:Q,MATCH(B370,Vöruskrá!B:B,0))*C370/100000,""))</f>
        <v>0</v>
      </c>
      <c r="O370" s="221">
        <f>IF(OR(B370="",C370=""),"",IFERROR(C370/1000*INDEX(Vöruskrá!R:R,MATCH(B370,Vöruskrá!B:B,0))/1000,""))</f>
        <v>0</v>
      </c>
      <c r="P370" s="222"/>
      <c r="Q370" s="204"/>
      <c r="R370" s="27"/>
    </row>
    <row r="371" spans="1:18">
      <c r="A371" s="224"/>
      <c r="B371" s="224" t="s">
        <v>833</v>
      </c>
      <c r="C371" s="225">
        <v>2220</v>
      </c>
      <c r="D371" s="219" t="str">
        <f>IF(B371="","",IFERROR(INDEX(Vöruskrá!F:F,MATCH(B371,Vöruskrá!B:B,0)),""))</f>
        <v>Þykktur sítrónusafi, vatn.</v>
      </c>
      <c r="E371" s="219" t="str">
        <f>IF(B371="","",IFERROR(IF(INDEX(Vöruskrá!G:G,MATCH(B371,Vöruskrá!B:B,0))="","Engir skráðir",INDEX(Vöruskrá!G:G,MATCH(B371,Vöruskrá!B:B,0))),"Engir skráðir"))</f>
        <v>Engir skráðir</v>
      </c>
      <c r="F371" s="219">
        <f>IF(B371="","",IFERROR(INDEX(Vöruskrá!H:H,MATCH(B371,Vöruskrá!B:B,0)),""))</f>
        <v>0</v>
      </c>
      <c r="G371" s="220">
        <f>IF(OR(B371="",C371=""),"",IFERROR(INDEX(Vöruskrá!J:J,MATCH(B371,Vöruskrá!B:B,0))*C371/100000,""))</f>
        <v>0.68820000000000003</v>
      </c>
      <c r="H371" s="220">
        <f>IF(OR(B371="",C371=""),"",IFERROR(INDEX(Vöruskrá!K:K,MATCH(B371,Vöruskrá!B:B,0))*C371/100000,""))</f>
        <v>4.4400000000000004E-3</v>
      </c>
      <c r="I371" s="220">
        <f>IF(OR(B371="",C371=""),"",IFERROR(INDEX(Vöruskrá!L:L,MATCH(B371,Vöruskrá!B:B,0))*C371/100000,""))</f>
        <v>0</v>
      </c>
      <c r="J371" s="220">
        <f>IF(OR(B371="",C371=""),"",IFERROR(INDEX(Vöruskrá!M:M,MATCH(B371,Vöruskrá!B:B,0))*C371/100000,""))</f>
        <v>0.15318000000000001</v>
      </c>
      <c r="K371" s="220">
        <f>IF(OR(B371="",C371=""),"",IFERROR(INDEX(Vöruskrá!N:N,MATCH(B371,Vöruskrá!B:B,0))*C371/100000,""))</f>
        <v>5.3280000000000001E-2</v>
      </c>
      <c r="L371" s="220">
        <f>IF(OR(B371="",C371=""),"",IFERROR(INDEX(Vöruskrá!O:O,MATCH(B371,Vöruskrá!B:B,0))*C371/100000,""))</f>
        <v>0</v>
      </c>
      <c r="M371" s="220">
        <f>IF(OR(B371="",C371=""),"",IFERROR(INDEX(Vöruskrá!P:P,MATCH(B371,Vöruskrá!B:B,0))*C371/100000,""))</f>
        <v>0</v>
      </c>
      <c r="N371" s="220">
        <f>IF(OR(B371="",C371=""),"",IFERROR(INDEX(Vöruskrá!Q:Q,MATCH(B371,Vöruskrá!B:B,0))*C371/100000,""))</f>
        <v>0</v>
      </c>
      <c r="O371" s="221">
        <f>IF(OR(B371="",C371=""),"",IFERROR(C371/1000*INDEX(Vöruskrá!R:R,MATCH(B371,Vöruskrá!B:B,0))/1000,""))</f>
        <v>0</v>
      </c>
      <c r="P371" s="224"/>
      <c r="Q371" s="205"/>
      <c r="R371" s="6"/>
    </row>
    <row r="372" spans="1:18">
      <c r="A372" s="222"/>
      <c r="B372" s="222" t="s">
        <v>1030</v>
      </c>
      <c r="C372" s="223">
        <v>1110</v>
      </c>
      <c r="D372" s="219" t="str">
        <f>IF(B372="","",IFERROR(INDEX(Vöruskrá!F:F,MATCH(B372,Vöruskrá!B:B,0)),""))</f>
        <v>Þurrkuð steinselja (Petroselinum sativum Hoffm)</v>
      </c>
      <c r="E372" s="219" t="str">
        <f>IF(B372="","",IFERROR(IF(INDEX(Vöruskrá!G:G,MATCH(B372,Vöruskrá!B:B,0))="","Engir skráðir",INDEX(Vöruskrá!G:G,MATCH(B372,Vöruskrá!B:B,0))),"Engir skráðir"))</f>
        <v>Engir skráðir</v>
      </c>
      <c r="F372" s="219" t="str">
        <f>IF(B372="","",IFERROR(INDEX(Vöruskrá!H:H,MATCH(B372,Vöruskrá!B:B,0)),""))</f>
        <v>Framleitt á svæði þar sem unnið er með glúten, fisk, mjólk, soja, sellerí, sinnep og sesam.</v>
      </c>
      <c r="G372" s="220">
        <f>IF(OR(B372="",C372=""),"",IFERROR(INDEX(Vöruskrá!J:J,MATCH(B372,Vöruskrá!B:B,0))*C372/100000,""))</f>
        <v>3.2412000000000001</v>
      </c>
      <c r="H372" s="220">
        <f>IF(OR(B372="",C372=""),"",IFERROR(INDEX(Vöruskrá!K:K,MATCH(B372,Vöruskrá!B:B,0))*C372/100000,""))</f>
        <v>6.105E-2</v>
      </c>
      <c r="I372" s="220">
        <f>IF(OR(B372="",C372=""),"",IFERROR(INDEX(Vöruskrá!L:L,MATCH(B372,Vöruskrá!B:B,0))*C372/100000,""))</f>
        <v>9.9900000000000006E-3</v>
      </c>
      <c r="J372" s="220">
        <f>IF(OR(B372="",C372=""),"",IFERROR(INDEX(Vöruskrá!M:M,MATCH(B372,Vöruskrá!B:B,0))*C372/100000,""))</f>
        <v>0.55500000000000005</v>
      </c>
      <c r="K372" s="220">
        <f>IF(OR(B372="",C372=""),"",IFERROR(INDEX(Vöruskrá!N:N,MATCH(B372,Vöruskrá!B:B,0))*C372/100000,""))</f>
        <v>4.4400000000000002E-2</v>
      </c>
      <c r="L372" s="220">
        <f>IF(OR(B372="",C372=""),"",IFERROR(INDEX(Vöruskrá!O:O,MATCH(B372,Vöruskrá!B:B,0))*C372/100000,""))</f>
        <v>0.29526000000000002</v>
      </c>
      <c r="M372" s="220">
        <f>IF(OR(B372="",C372=""),"",IFERROR(INDEX(Vöruskrá!P:P,MATCH(B372,Vöruskrá!B:B,0))*C372/100000,""))</f>
        <v>1.1100000000000001E-3</v>
      </c>
      <c r="N372" s="220">
        <f>IF(OR(B372="",C372=""),"",IFERROR(INDEX(Vöruskrá!Q:Q,MATCH(B372,Vöruskrá!B:B,0))*C372/100000,""))</f>
        <v>0.29637000000000002</v>
      </c>
      <c r="O372" s="221">
        <f>IF(OR(B372="",C372=""),"",IFERROR(C372/1000*INDEX(Vöruskrá!R:R,MATCH(B372,Vöruskrá!B:B,0))/1000,""))</f>
        <v>0</v>
      </c>
      <c r="P372" s="222"/>
      <c r="Q372" s="204"/>
      <c r="R372" s="27"/>
    </row>
    <row r="373" spans="1:18">
      <c r="A373" s="224"/>
      <c r="B373" s="224" t="s">
        <v>299</v>
      </c>
      <c r="C373" s="225">
        <v>888</v>
      </c>
      <c r="D373" s="219" t="str">
        <f>IF(B373="","",IFERROR(INDEX(Vöruskrá!F:F,MATCH(B373,Vöruskrá!B:B,0)),""))</f>
        <v>Salt (salt, kekkjavarnarefni E535, lyftiefni E500).</v>
      </c>
      <c r="E373" s="219" t="str">
        <f>IF(B373="","",IFERROR(IF(INDEX(Vöruskrá!G:G,MATCH(B373,Vöruskrá!B:B,0))="","Engir skráðir",INDEX(Vöruskrá!G:G,MATCH(B373,Vöruskrá!B:B,0))),"Engir skráðir"))</f>
        <v>Engir skráðir</v>
      </c>
      <c r="F373" s="219" t="str">
        <f>IF(B373="","",IFERROR(INDEX(Vöruskrá!H:H,MATCH(B373,Vöruskrá!B:B,0)),""))</f>
        <v>Framleitt á svæði þar sem unnið er með mjólk, glúten, egg, sesam, sellerí, soja og sinnep.</v>
      </c>
      <c r="G373" s="220">
        <f>IF(OR(B373="",C373=""),"",IFERROR(INDEX(Vöruskrá!J:J,MATCH(B373,Vöruskrá!B:B,0))*C373/100000,""))</f>
        <v>0</v>
      </c>
      <c r="H373" s="220">
        <f>IF(OR(B373="",C373=""),"",IFERROR(INDEX(Vöruskrá!K:K,MATCH(B373,Vöruskrá!B:B,0))*C373/100000,""))</f>
        <v>0</v>
      </c>
      <c r="I373" s="220">
        <f>IF(OR(B373="",C373=""),"",IFERROR(INDEX(Vöruskrá!L:L,MATCH(B373,Vöruskrá!B:B,0))*C373/100000,""))</f>
        <v>0</v>
      </c>
      <c r="J373" s="220">
        <f>IF(OR(B373="",C373=""),"",IFERROR(INDEX(Vöruskrá!M:M,MATCH(B373,Vöruskrá!B:B,0))*C373/100000,""))</f>
        <v>0</v>
      </c>
      <c r="K373" s="220">
        <f>IF(OR(B373="",C373=""),"",IFERROR(INDEX(Vöruskrá!N:N,MATCH(B373,Vöruskrá!B:B,0))*C373/100000,""))</f>
        <v>0</v>
      </c>
      <c r="L373" s="220">
        <f>IF(OR(B373="",C373=""),"",IFERROR(INDEX(Vöruskrá!O:O,MATCH(B373,Vöruskrá!B:B,0))*C373/100000,""))</f>
        <v>0</v>
      </c>
      <c r="M373" s="220">
        <f>IF(OR(B373="",C373=""),"",IFERROR(INDEX(Vöruskrá!P:P,MATCH(B373,Vöruskrá!B:B,0))*C373/100000,""))</f>
        <v>0.88800000000000001</v>
      </c>
      <c r="N373" s="220">
        <f>IF(OR(B373="",C373=""),"",IFERROR(INDEX(Vöruskrá!Q:Q,MATCH(B373,Vöruskrá!B:B,0))*C373/100000,""))</f>
        <v>0</v>
      </c>
      <c r="O373" s="221">
        <f>IF(OR(B373="",C373=""),"",IFERROR(C373/1000*INDEX(Vöruskrá!R:R,MATCH(B373,Vöruskrá!B:B,0))/1000,""))</f>
        <v>0</v>
      </c>
      <c r="P373" s="224"/>
      <c r="Q373" s="205"/>
      <c r="R373" s="6"/>
    </row>
    <row r="374" spans="1:18">
      <c r="A374" s="222"/>
      <c r="B374" s="222" t="s">
        <v>819</v>
      </c>
      <c r="C374" s="223">
        <v>333</v>
      </c>
      <c r="D374" s="219" t="str">
        <f>IF(B374="","",IFERROR(INDEX(Vöruskrá!F:F,MATCH(B374,Vöruskrá!B:B,0)),""))</f>
        <v>Svartur pipar 100% (Piper nigrum), hitaþurrkað.</v>
      </c>
      <c r="E374" s="219" t="str">
        <f>IF(B374="","",IFERROR(IF(INDEX(Vöruskrá!G:G,MATCH(B374,Vöruskrá!B:B,0))="","Engir skráðir",INDEX(Vöruskrá!G:G,MATCH(B374,Vöruskrá!B:B,0))),"Engir skráðir"))</f>
        <v>Engir skráðir</v>
      </c>
      <c r="F374" s="219" t="str">
        <f>IF(B374="","",IFERROR(INDEX(Vöruskrá!H:H,MATCH(B374,Vöruskrá!B:B,0)),""))</f>
        <v>Framleitt á svæði þar sem unnið er með glúten, fisk, krabbadýr, lindýr, mjólk, soja, sellerí, sinnep og sesam.</v>
      </c>
      <c r="G374" s="220">
        <f>IF(OR(B374="",C374=""),"",IFERROR(INDEX(Vöruskrá!J:J,MATCH(B374,Vöruskrá!B:B,0))*C374/100000,""))</f>
        <v>1.28538</v>
      </c>
      <c r="H374" s="220">
        <f>IF(OR(B374="",C374=""),"",IFERROR(INDEX(Vöruskrá!K:K,MATCH(B374,Vöruskrá!B:B,0))*C374/100000,""))</f>
        <v>1.0988999999999999E-2</v>
      </c>
      <c r="I374" s="220">
        <f>IF(OR(B374="",C374=""),"",IFERROR(INDEX(Vöruskrá!L:L,MATCH(B374,Vöruskrá!B:B,0))*C374/100000,""))</f>
        <v>3.3300000000000001E-3</v>
      </c>
      <c r="J374" s="220">
        <f>IF(OR(B374="",C374=""),"",IFERROR(INDEX(Vöruskrá!M:M,MATCH(B374,Vöruskrá!B:B,0))*C374/100000,""))</f>
        <v>0.21645</v>
      </c>
      <c r="K374" s="220">
        <f>IF(OR(B374="",C374=""),"",IFERROR(INDEX(Vöruskrá!N:N,MATCH(B374,Vöruskrá!B:B,0))*C374/100000,""))</f>
        <v>1.9979999999999998E-3</v>
      </c>
      <c r="L374" s="220">
        <f>IF(OR(B374="",C374=""),"",IFERROR(INDEX(Vöruskrá!O:O,MATCH(B374,Vöruskrá!B:B,0))*C374/100000,""))</f>
        <v>3.6630000000000003E-2</v>
      </c>
      <c r="M374" s="220">
        <f>IF(OR(B374="",C374=""),"",IFERROR(INDEX(Vöruskrá!P:P,MATCH(B374,Vöruskrá!B:B,0))*C374/100000,""))</f>
        <v>3.3300000000000002E-4</v>
      </c>
      <c r="N374" s="220">
        <f>IF(OR(B374="",C374=""),"",IFERROR(INDEX(Vöruskrá!Q:Q,MATCH(B374,Vöruskrá!B:B,0))*C374/100000,""))</f>
        <v>0</v>
      </c>
      <c r="O374" s="221">
        <f>IF(OR(B374="",C374=""),"",IFERROR(C374/1000*INDEX(Vöruskrá!R:R,MATCH(B374,Vöruskrá!B:B,0))/1000,""))</f>
        <v>0</v>
      </c>
      <c r="P374" s="222"/>
      <c r="Q374" s="204"/>
      <c r="R374" s="27"/>
    </row>
    <row r="375" spans="1:18">
      <c r="A375" s="211"/>
      <c r="B375" s="211"/>
      <c r="C375" s="212"/>
      <c r="D375" s="213" t="str">
        <f>IF(B375="","",IFERROR(IFERROR(INDEX(Vöruskrá!F:F,MATCH(B375,Vöruskrá!B:B,0)),"Vara finnst ekki"),""))</f>
        <v/>
      </c>
      <c r="E375" s="213" t="str">
        <f>IF(B375="","",IFERROR(IFERROR(INDEX(Vöruskrá!G:G,MATCH(B375,Vöruskrá!B:B,0)),""),""))</f>
        <v/>
      </c>
      <c r="F375" s="213" t="str">
        <f>IF(B375="","",IFERROR(IFERROR(INDEX(Vöruskrá!H:H,MATCH(B375,Vöruskrá!B:B,0)),""),""))</f>
        <v/>
      </c>
      <c r="G375" s="214" t="str">
        <f>IF(OR(B375="",C375=""),"",IFERROR(IFERROR(INDEX(Vöruskrá!J:J,MATCH(B375,Vöruskrá!B:B,0)),"")*C375/100000,""))</f>
        <v/>
      </c>
      <c r="H375" s="214" t="str">
        <f>IF(OR(B375="",C375=""),"",IFERROR(IFERROR(INDEX(Vöruskrá!K:K,MATCH(B375,Vöruskrá!B:B,0)),"")*C375/100000,""))</f>
        <v/>
      </c>
      <c r="I375" s="214" t="str">
        <f>IF(OR(B375="",C375=""),"",IFERROR(IFERROR(INDEX(Vöruskrá!L:L,MATCH(B375,Vöruskrá!B:B,0)),"")*C375/100000,""))</f>
        <v/>
      </c>
      <c r="J375" s="214" t="str">
        <f>IF(OR(B375="",C375=""),"",IFERROR(IFERROR(INDEX(Vöruskrá!M:M,MATCH(B375,Vöruskrá!B:B,0)),"")*C375/100000,""))</f>
        <v/>
      </c>
      <c r="K375" s="214" t="str">
        <f>IF(OR(B375="",C375=""),"",IFERROR(IFERROR(INDEX(Vöruskrá!N:N,MATCH(B375,Vöruskrá!B:B,0)),"")*C375/100000,""))</f>
        <v/>
      </c>
      <c r="L375" s="214" t="str">
        <f>IF(OR(B375="",C375=""),"",IFERROR(IFERROR(INDEX(Vöruskrá!O:O,MATCH(B375,Vöruskrá!B:B,0)),"")*C375/100000,""))</f>
        <v/>
      </c>
      <c r="M375" s="214" t="str">
        <f>IF(OR(B375="",C375=""),"",IFERROR(IFERROR(INDEX(Vöruskrá!P:P,MATCH(B375,Vöruskrá!B:B,0)),"")*C375/100000,""))</f>
        <v/>
      </c>
      <c r="N375" s="214" t="str">
        <f>IF(OR(B375="",C375=""),"",IFERROR(IFERROR(INDEX(Vöruskrá!Q:Q,MATCH(B375,Vöruskrá!B:B,0)),"")*C375/100000,""))</f>
        <v/>
      </c>
      <c r="O375" s="215" t="str">
        <f>IF(OR(B375="",C375=""),"",IFERROR(C375/1000*IFERROR(INDEX(Vöruskrá!R:R,MATCH(B375,Vöruskrá!B:B,0)),0)/1000,""))</f>
        <v/>
      </c>
      <c r="P375" s="211"/>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
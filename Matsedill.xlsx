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744" documentId="8_{9058C769-37DB-4D75-B77A-5C1D47EA4B73}" xr6:coauthVersionLast="47" xr6:coauthVersionMax="47" xr10:uidLastSave="{61251D4C-C1A4-4C1C-A34C-BE4ADA2A89C3}"/>
  <bookViews>
    <workbookView xWindow="-110" yWindow="-110" windowWidth="19420" windowHeight="11500" tabRatio="500" firstSheet="3"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<sst xmlns="http://schemas.openxmlformats.org/spreadsheetml/2006/main" count="66276" uniqueCount="5498">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</sst>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amily val="2"/>
    </font>
    <font>
      <b/>
      <sz val="10"/>
      <color rgb="FFFFFFFF"/>
      <name val="Arial"/>
      <family val="2"/>
      <charset val="1"/>
    </font>
    <font>
      <u/>
      <sz val="10"/>
      <color theme="10"/>
      <name val="Calibri"/>
      <family val="2"/>
      <charset val="1"/>
    </font>
    <font>
      <b/>
      <sz val="11"/>
      <color rgb="FFFFFFFF"/>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36" fillId="5" borderId="1" xfId="0" applyFont="1" applyFill="1" applyBorder="1"/>
    <xf numFmtId="0" fontId="51" fillId="7" borderId="1" xfId="0" applyFont="1" applyFill="1" applyBorder="1" applyAlignment="1">
      <alignment horizontal="left" vertical="center" wrapText="1"/>
    </xf>
    <xf numFmtId="0" fontId="52" fillId="41" borderId="0" xfId="2" applyFont="1" applyFill="1"/>
    <xf numFmtId="0" fontId="52" fillId="0" borderId="0" xfId="2" applyFont="1"/>
    <xf numFmtId="0" fontId="53" fillId="35" borderId="0" xfId="0" applyFont="1" applyFill="1" applyAlignment="1">
      <alignment horizontal="center"/>
    </xf>
    <xf numFmtId="0" fontId="54" fillId="0" borderId="0" xfId="0" applyFont="1"/>
    <xf numFmtId="0" fontId="10" fillId="35" borderId="0" xfId="0" applyFont="1" applyFill="1"/>
    <xf numFmtId="168" fontId="55" fillId="0" borderId="0" xfId="0" applyNumberFormat="1" applyFont="1"/>
    <xf numFmtId="175" fontId="55" fillId="0" borderId="0" xfId="0" applyNumberFormat="1" applyFont="1"/>
    <xf numFmtId="168" fontId="38" fillId="0" borderId="0" xfId="0" applyNumberFormat="1" applyFont="1"/>
    <xf numFmtId="176" fontId="55" fillId="0" borderId="0" xfId="0" applyNumberFormat="1" applyFont="1"/>
    <xf numFmtId="0" fontId="10" fillId="35" borderId="45" xfId="0" applyFont="1" applyFill="1" applyBorder="1" applyAlignment="1">
      <alignment horizontal="center" wrapText="1"/>
    </xf>
    <xf numFmtId="0" fontId="56"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6"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7" fillId="0" borderId="0" xfId="0" applyFont="1"/>
    <xf numFmtId="0" fontId="56" fillId="0" borderId="0" xfId="0" applyFont="1"/>
    <xf numFmtId="0" fontId="58" fillId="0" borderId="0" xfId="0" applyFont="1"/>
    <xf numFmtId="177" fontId="0" fillId="0" borderId="0" xfId="0" applyNumberFormat="1"/>
    <xf numFmtId="0" fontId="2"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6" fontId="18" fillId="29" borderId="3" xfId="0" applyNumberFormat="1" applyFont="1" applyFill="1" applyBorder="1"/>
    <xf numFmtId="16" fontId="18" fillId="28" borderId="3" xfId="0" applyNumberFormat="1" applyFont="1" applyFill="1" applyBorder="1"/>
    <xf numFmtId="49" fontId="18"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6" t="s">
        <v>0</v>
      </c>
      <c r="B1" s="336"/>
      <c r="C1" s="336"/>
      <c r="D1" s="336"/>
      <c r="E1" s="336"/>
      <c r="F1" s="336"/>
      <c r="G1" s="336"/>
      <c r="H1" s="336"/>
      <c r="I1" s="336"/>
      <c r="J1" s="336"/>
      <c r="K1" s="336"/>
      <c r="L1" s="336"/>
      <c r="M1" s="336"/>
      <c r="N1" s="336"/>
      <c r="O1" s="336"/>
      <c r="P1" s="336"/>
      <c r="Q1" s="336"/>
      <c r="R1" s="336"/>
      <c r="S1" s="33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7"/>
      <c r="I179" s="338"/>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4" t="s">
        <v>1419</v>
      </c>
      <c r="B349" s="304"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28"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729" activePane="bottomRight" state="frozen"/>
      <selection pane="bottomRight" activeCell="B743" sqref="B74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9" t="s">
        <v>1444</v>
      </c>
      <c r="B1" s="339"/>
      <c r="C1" s="339"/>
      <c r="D1" s="339"/>
      <c r="E1" s="339"/>
      <c r="F1" s="339"/>
      <c r="G1" s="339"/>
      <c r="H1" s="339"/>
      <c r="I1" s="339"/>
      <c r="J1" s="339"/>
      <c r="K1" s="339"/>
      <c r="L1" s="339"/>
      <c r="M1" s="339"/>
      <c r="N1" s="339"/>
      <c r="O1" s="339"/>
      <c r="P1" s="339"/>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51.95">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65.099999999999994">
      <c r="A34" s="30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65.099999999999994">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51.95">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9">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51.95">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7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51.95">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65.099999999999994">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1.95">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1.95">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923</v>
      </c>
      <c r="E302" s="249" t="s">
        <v>108</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5.099999999999994">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65.099999999999994">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1.95">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099999999999994">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1.95">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5.099999999999994">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104.1">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9">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1824</v>
      </c>
      <c r="D732" t="s">
        <v>1825</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1826</v>
      </c>
      <c r="E736" t="s">
        <v>108</v>
      </c>
      <c r="G736">
        <v>90.11</v>
      </c>
      <c r="H736">
        <v>1.38</v>
      </c>
      <c r="I736">
        <v>0.78</v>
      </c>
      <c r="J736">
        <v>16.78</v>
      </c>
      <c r="L736">
        <v>2.23</v>
      </c>
      <c r="M736">
        <v>0.26</v>
      </c>
      <c r="P736" t="s">
        <v>1827</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M108" activePane="bottomRight" state="frozen"/>
      <selection pane="bottomRight" activeCell="AA118" sqref="AA11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0" t="s">
        <v>1828</v>
      </c>
      <c r="B1" s="339"/>
      <c r="C1" s="339"/>
      <c r="D1" s="339"/>
      <c r="E1" s="339"/>
      <c r="F1" s="339"/>
      <c r="G1" s="339"/>
      <c r="H1" s="339"/>
      <c r="I1" s="339"/>
      <c r="J1" s="339"/>
      <c r="K1" s="339"/>
      <c r="L1" s="339"/>
      <c r="M1" s="339"/>
      <c r="N1" s="339"/>
      <c r="O1" s="339"/>
      <c r="P1" s="339"/>
      <c r="Q1" s="339"/>
      <c r="R1" s="339"/>
      <c r="S1" s="339"/>
      <c r="T1" s="341" t="s">
        <v>1453</v>
      </c>
      <c r="U1" s="341"/>
      <c r="V1" s="341"/>
      <c r="W1" s="341"/>
      <c r="X1" s="341"/>
      <c r="Y1" s="341"/>
      <c r="Z1" s="341"/>
      <c r="AA1" s="341"/>
      <c r="AB1" t="s">
        <v>1829</v>
      </c>
      <c r="AC1" t="s">
        <v>1830</v>
      </c>
      <c r="AD1" s="288" t="s">
        <v>1831</v>
      </c>
    </row>
    <row r="2" spans="1:31" ht="26.1">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30" t="s">
        <v>1849</v>
      </c>
      <c r="V2" s="330" t="s">
        <v>1850</v>
      </c>
      <c r="W2" s="330" t="s">
        <v>1851</v>
      </c>
      <c r="X2" s="330" t="s">
        <v>1852</v>
      </c>
      <c r="Y2" s="330" t="s">
        <v>1853</v>
      </c>
      <c r="Z2" s="330" t="s">
        <v>1452</v>
      </c>
      <c r="AA2" s="330" t="s">
        <v>1854</v>
      </c>
      <c r="AB2" t="s">
        <v>1855</v>
      </c>
      <c r="AC2" t="s">
        <v>1855</v>
      </c>
      <c r="AD2" s="289">
        <v>0.5</v>
      </c>
    </row>
    <row r="3" spans="1:31" ht="90.95">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31"/>
      <c r="V3" s="331"/>
      <c r="W3" s="331"/>
      <c r="X3" s="331"/>
      <c r="Y3" s="331"/>
      <c r="Z3" s="331"/>
      <c r="AA3" s="331"/>
      <c r="AB3" t="s">
        <v>1861</v>
      </c>
      <c r="AC3" t="s">
        <v>1861</v>
      </c>
    </row>
    <row r="4" spans="1:31" ht="26.1">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32" t="s">
        <v>1863</v>
      </c>
      <c r="V4" s="332" t="s">
        <v>1864</v>
      </c>
      <c r="W4" s="332"/>
      <c r="X4" s="332"/>
      <c r="Y4" s="332"/>
      <c r="Z4" s="332"/>
      <c r="AA4" s="332"/>
      <c r="AB4" t="s">
        <v>1865</v>
      </c>
      <c r="AC4" t="s">
        <v>1865</v>
      </c>
      <c r="AD4" s="288" t="s">
        <v>1866</v>
      </c>
      <c r="AE4" s="290">
        <v>1350</v>
      </c>
    </row>
    <row r="5" spans="1:31" ht="14.45">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31"/>
      <c r="V5" s="331"/>
      <c r="W5" s="331"/>
      <c r="X5" s="331"/>
      <c r="Y5" s="331"/>
      <c r="Z5" s="331"/>
      <c r="AA5" s="331"/>
      <c r="AB5" t="s">
        <v>1867</v>
      </c>
      <c r="AC5" t="s">
        <v>1867</v>
      </c>
      <c r="AD5" s="288" t="s">
        <v>1868</v>
      </c>
      <c r="AE5" s="290">
        <v>1150</v>
      </c>
    </row>
    <row r="6" spans="1:31" ht="14.45">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32"/>
      <c r="V6" s="332"/>
      <c r="W6" s="332"/>
      <c r="X6" s="332"/>
      <c r="Y6" s="332"/>
      <c r="Z6" s="332"/>
      <c r="AA6" s="332"/>
      <c r="AB6" t="s">
        <v>1869</v>
      </c>
      <c r="AC6" t="s">
        <v>1869</v>
      </c>
      <c r="AD6" s="288" t="s">
        <v>1870</v>
      </c>
      <c r="AE6" s="289">
        <v>0.3</v>
      </c>
    </row>
    <row r="7" spans="1:31" ht="39">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31" t="s">
        <v>1863</v>
      </c>
      <c r="V7" s="331" t="s">
        <v>1864</v>
      </c>
      <c r="W7" s="331"/>
      <c r="X7" s="331"/>
      <c r="Y7" s="331"/>
      <c r="Z7" s="331"/>
      <c r="AA7" s="331"/>
      <c r="AB7" t="s">
        <v>1872</v>
      </c>
      <c r="AC7" t="s">
        <v>1872</v>
      </c>
    </row>
    <row r="8" spans="1:31" ht="26.1">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32" t="s">
        <v>1863</v>
      </c>
      <c r="V8" s="332" t="s">
        <v>1864</v>
      </c>
      <c r="W8" s="332"/>
      <c r="X8" s="332"/>
      <c r="Y8" s="332"/>
      <c r="Z8" s="332"/>
      <c r="AA8" s="332"/>
      <c r="AB8" t="s">
        <v>1874</v>
      </c>
      <c r="AC8" t="s">
        <v>1874</v>
      </c>
    </row>
    <row r="9" spans="1:31" ht="90.95">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31"/>
      <c r="V9" s="331"/>
      <c r="W9" s="331"/>
      <c r="X9" s="331"/>
      <c r="Y9" s="331"/>
      <c r="Z9" s="331"/>
      <c r="AA9" s="331"/>
      <c r="AB9" t="s">
        <v>1878</v>
      </c>
      <c r="AC9" t="s">
        <v>1878</v>
      </c>
    </row>
    <row r="10" spans="1:31" ht="39">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32" t="s">
        <v>1863</v>
      </c>
      <c r="V10" s="332" t="s">
        <v>1864</v>
      </c>
      <c r="W10" s="332"/>
      <c r="X10" s="332"/>
      <c r="Y10" s="332"/>
      <c r="Z10" s="332"/>
      <c r="AA10" s="332"/>
      <c r="AB10" t="s">
        <v>1880</v>
      </c>
      <c r="AC10" t="s">
        <v>1880</v>
      </c>
    </row>
    <row r="11" spans="1:31" ht="14.45">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31"/>
      <c r="V11" s="331"/>
      <c r="W11" s="331"/>
      <c r="X11" s="331"/>
      <c r="Y11" s="331"/>
      <c r="Z11" s="331"/>
      <c r="AA11" s="331"/>
      <c r="AB11" t="s">
        <v>1881</v>
      </c>
      <c r="AC11" t="s">
        <v>1881</v>
      </c>
    </row>
    <row r="12" spans="1:31" ht="14.45">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32"/>
      <c r="V12" s="332"/>
      <c r="W12" s="332"/>
      <c r="X12" s="332"/>
      <c r="Y12" s="332"/>
      <c r="Z12" s="332"/>
      <c r="AA12" s="332"/>
      <c r="AB12" t="s">
        <v>1882</v>
      </c>
      <c r="AC12" t="s">
        <v>1882</v>
      </c>
    </row>
    <row r="13" spans="1:31" ht="39">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31" t="s">
        <v>1863</v>
      </c>
      <c r="V13" s="331" t="s">
        <v>1864</v>
      </c>
      <c r="W13" s="331"/>
      <c r="X13" s="331"/>
      <c r="Y13" s="331"/>
      <c r="Z13" s="331"/>
      <c r="AA13" s="331"/>
      <c r="AB13" t="s">
        <v>1883</v>
      </c>
      <c r="AC13" t="s">
        <v>1883</v>
      </c>
    </row>
    <row r="14" spans="1:31" ht="26.1">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32" t="s">
        <v>1863</v>
      </c>
      <c r="V14" s="332" t="s">
        <v>1864</v>
      </c>
      <c r="W14" s="332"/>
      <c r="X14" s="332"/>
      <c r="Y14" s="332"/>
      <c r="Z14" s="332"/>
      <c r="AA14" s="332"/>
      <c r="AB14" t="s">
        <v>1884</v>
      </c>
      <c r="AC14" t="s">
        <v>1884</v>
      </c>
    </row>
    <row r="15" spans="1:31" ht="26.1">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31"/>
      <c r="V15" s="331"/>
      <c r="W15" s="331"/>
      <c r="X15" s="331"/>
      <c r="Y15" s="331"/>
      <c r="Z15" s="331"/>
      <c r="AA15" s="331"/>
      <c r="AB15" t="s">
        <v>1889</v>
      </c>
      <c r="AC15" t="s">
        <v>1889</v>
      </c>
    </row>
    <row r="16" spans="1:31" ht="26.1">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32"/>
      <c r="V16" s="332"/>
      <c r="W16" s="332"/>
      <c r="X16" s="332"/>
      <c r="Y16" s="332"/>
      <c r="Z16" s="332"/>
      <c r="AA16" s="332"/>
      <c r="AB16" t="s">
        <v>1891</v>
      </c>
      <c r="AC16" t="s">
        <v>1891</v>
      </c>
    </row>
    <row r="17" spans="1:29" ht="14.45">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31"/>
      <c r="V17" s="331"/>
      <c r="W17" s="331"/>
      <c r="X17" s="331"/>
      <c r="Y17" s="331"/>
      <c r="Z17" s="331"/>
      <c r="AA17" s="331"/>
      <c r="AB17" t="s">
        <v>1893</v>
      </c>
      <c r="AC17" t="s">
        <v>1893</v>
      </c>
    </row>
    <row r="18" spans="1:29" ht="14.45">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32"/>
      <c r="V18" s="332"/>
      <c r="W18" s="332"/>
      <c r="X18" s="332"/>
      <c r="Y18" s="332"/>
      <c r="Z18" s="332"/>
      <c r="AA18" s="332"/>
      <c r="AB18" t="s">
        <v>1896</v>
      </c>
      <c r="AC18" t="s">
        <v>1896</v>
      </c>
    </row>
    <row r="19" spans="1:29" ht="65.099999999999994">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31"/>
      <c r="V19" s="331"/>
      <c r="W19" s="331"/>
      <c r="X19" s="331"/>
      <c r="Y19" s="331"/>
      <c r="Z19" s="331"/>
      <c r="AA19" s="331"/>
      <c r="AB19" t="s">
        <v>1898</v>
      </c>
      <c r="AC19" t="s">
        <v>1898</v>
      </c>
    </row>
    <row r="20" spans="1:29" ht="65.099999999999994">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32"/>
      <c r="V20" s="332"/>
      <c r="W20" s="332"/>
      <c r="X20" s="332"/>
      <c r="Y20" s="332"/>
      <c r="Z20" s="332"/>
      <c r="AA20" s="332"/>
      <c r="AB20" t="s">
        <v>1900</v>
      </c>
      <c r="AC20" t="s">
        <v>1900</v>
      </c>
    </row>
    <row r="21" spans="1:29" ht="39">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31"/>
      <c r="V21" s="331"/>
      <c r="W21" s="331"/>
      <c r="X21" s="331"/>
      <c r="Y21" s="331"/>
      <c r="Z21" s="331"/>
      <c r="AA21" s="331"/>
      <c r="AB21" t="s">
        <v>1905</v>
      </c>
      <c r="AC21" t="s">
        <v>1905</v>
      </c>
    </row>
    <row r="22" spans="1:29" ht="14.45">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32" t="s">
        <v>1906</v>
      </c>
      <c r="V22" s="332" t="s">
        <v>1864</v>
      </c>
      <c r="W22" s="332"/>
      <c r="X22" s="332"/>
      <c r="Y22" s="332"/>
      <c r="Z22" s="332"/>
      <c r="AA22" s="332"/>
      <c r="AB22" t="s">
        <v>1907</v>
      </c>
      <c r="AC22" t="s">
        <v>1907</v>
      </c>
    </row>
    <row r="23" spans="1:29" ht="26.1">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31" t="s">
        <v>1863</v>
      </c>
      <c r="V23" s="331" t="s">
        <v>1864</v>
      </c>
      <c r="W23" s="331"/>
      <c r="X23" s="331"/>
      <c r="Y23" s="331"/>
      <c r="Z23" s="331"/>
      <c r="AA23" s="331"/>
      <c r="AB23" t="s">
        <v>1909</v>
      </c>
      <c r="AC23" t="s">
        <v>1909</v>
      </c>
    </row>
    <row r="24" spans="1:29" ht="78">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32"/>
      <c r="V24" s="332"/>
      <c r="W24" s="332"/>
      <c r="X24" s="332"/>
      <c r="Y24" s="332"/>
      <c r="Z24" s="332"/>
      <c r="AA24" s="332"/>
    </row>
    <row r="25" spans="1:29" ht="51.95">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31"/>
      <c r="V25" s="331"/>
      <c r="W25" s="331"/>
      <c r="X25" s="331"/>
      <c r="Y25" s="331"/>
      <c r="Z25" s="331"/>
      <c r="AA25" s="331"/>
    </row>
    <row r="26" spans="1:29" ht="26.1">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32"/>
      <c r="V26" s="332"/>
      <c r="W26" s="332"/>
      <c r="X26" s="332"/>
      <c r="Y26" s="332"/>
      <c r="Z26" s="332"/>
      <c r="AA26" s="332"/>
    </row>
    <row r="27" spans="1:29" ht="14.45">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31"/>
      <c r="V27" s="331"/>
      <c r="W27" s="331"/>
      <c r="X27" s="331"/>
      <c r="Y27" s="331"/>
      <c r="Z27" s="331"/>
      <c r="AA27" s="331"/>
    </row>
    <row r="28" spans="1:29" ht="14.45">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32"/>
      <c r="V28" s="332"/>
      <c r="W28" s="332"/>
      <c r="X28" s="332"/>
      <c r="Y28" s="332"/>
      <c r="Z28" s="332"/>
      <c r="AA28" s="332"/>
    </row>
    <row r="29" spans="1:29" ht="90.95">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31"/>
      <c r="V29" s="331"/>
      <c r="W29" s="331"/>
      <c r="X29" s="331"/>
      <c r="Y29" s="331"/>
      <c r="Z29" s="331"/>
      <c r="AA29" s="331"/>
    </row>
    <row r="30" spans="1:29" ht="26.1">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32" t="s">
        <v>1863</v>
      </c>
      <c r="V30" s="332" t="s">
        <v>1919</v>
      </c>
      <c r="W30" s="332" t="s">
        <v>1920</v>
      </c>
      <c r="X30" s="332" t="s">
        <v>1921</v>
      </c>
      <c r="Y30" s="332" t="s">
        <v>1922</v>
      </c>
      <c r="Z30" s="332"/>
      <c r="AA30" s="332"/>
    </row>
    <row r="31" spans="1:29" ht="14.45">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31" t="s">
        <v>1863</v>
      </c>
      <c r="V31" s="331" t="s">
        <v>1919</v>
      </c>
      <c r="W31" s="331" t="s">
        <v>1924</v>
      </c>
      <c r="X31" s="331" t="s">
        <v>1925</v>
      </c>
      <c r="Y31" s="331">
        <v>75</v>
      </c>
      <c r="Z31" s="331"/>
      <c r="AA31" s="331"/>
    </row>
    <row r="32" spans="1:29" ht="51.95">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32"/>
      <c r="V32" s="332" t="s">
        <v>1919</v>
      </c>
      <c r="W32" s="332" t="s">
        <v>1924</v>
      </c>
      <c r="X32" s="332">
        <v>30</v>
      </c>
      <c r="Y32" s="332">
        <v>75</v>
      </c>
      <c r="Z32" s="332" t="s">
        <v>1926</v>
      </c>
      <c r="AA32" s="332"/>
    </row>
    <row r="33" spans="1:27" ht="78">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31"/>
      <c r="V33" s="331"/>
      <c r="W33" s="331"/>
      <c r="X33" s="331"/>
      <c r="Y33" s="331"/>
      <c r="Z33" s="331"/>
      <c r="AA33" s="331"/>
    </row>
    <row r="34" spans="1:27" ht="26.1">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32" t="s">
        <v>1863</v>
      </c>
      <c r="V34" s="332" t="s">
        <v>1919</v>
      </c>
      <c r="W34" s="332" t="s">
        <v>1920</v>
      </c>
      <c r="X34" s="332" t="s">
        <v>1921</v>
      </c>
      <c r="Y34" s="332" t="s">
        <v>1922</v>
      </c>
      <c r="Z34" s="332"/>
      <c r="AA34" s="332"/>
    </row>
    <row r="35" spans="1:27" ht="51.95">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31"/>
      <c r="V35" s="331" t="s">
        <v>1919</v>
      </c>
      <c r="W35" s="331" t="s">
        <v>1924</v>
      </c>
      <c r="X35" s="331">
        <v>30</v>
      </c>
      <c r="Y35" s="331">
        <v>75</v>
      </c>
      <c r="Z35" s="331"/>
      <c r="AA35" s="331"/>
    </row>
    <row r="36" spans="1:27" ht="14.45">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32"/>
      <c r="V36" s="332"/>
      <c r="W36" s="332"/>
      <c r="X36" s="332"/>
      <c r="Y36" s="332"/>
      <c r="Z36" s="332"/>
      <c r="AA36" s="332"/>
    </row>
    <row r="37" spans="1:27" ht="26.1">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31"/>
      <c r="V37" s="331"/>
      <c r="W37" s="331"/>
      <c r="X37" s="331"/>
      <c r="Y37" s="331"/>
      <c r="Z37" s="331"/>
      <c r="AA37" s="331"/>
    </row>
    <row r="38" spans="1:27" ht="26.1">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32" t="s">
        <v>1863</v>
      </c>
      <c r="V38" s="332" t="s">
        <v>1919</v>
      </c>
      <c r="W38" s="332" t="s">
        <v>1920</v>
      </c>
      <c r="X38" s="332" t="s">
        <v>1921</v>
      </c>
      <c r="Y38" s="332" t="s">
        <v>1922</v>
      </c>
      <c r="Z38" s="332"/>
      <c r="AA38" s="332"/>
    </row>
    <row r="39" spans="1:27" ht="14.45">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31"/>
      <c r="V39" s="331"/>
      <c r="W39" s="331"/>
      <c r="X39" s="331"/>
      <c r="Y39" s="331"/>
      <c r="Z39" s="331"/>
      <c r="AA39" s="331"/>
    </row>
    <row r="40" spans="1:27" ht="51.95">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32"/>
      <c r="V40" s="332"/>
      <c r="W40" s="332"/>
      <c r="X40" s="332"/>
      <c r="Y40" s="332"/>
      <c r="Z40" s="332"/>
      <c r="AA40" s="332"/>
    </row>
    <row r="41" spans="1:27" ht="14.45">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31" t="s">
        <v>1863</v>
      </c>
      <c r="V41" s="331" t="s">
        <v>1919</v>
      </c>
      <c r="W41" s="331" t="s">
        <v>1920</v>
      </c>
      <c r="X41" s="331" t="s">
        <v>1921</v>
      </c>
      <c r="Y41" s="331" t="s">
        <v>1922</v>
      </c>
      <c r="Z41" s="331"/>
      <c r="AA41" s="331"/>
    </row>
    <row r="42" spans="1:27" ht="51.95">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32"/>
      <c r="V42" s="332" t="s">
        <v>1919</v>
      </c>
      <c r="W42" s="332" t="s">
        <v>1924</v>
      </c>
      <c r="X42" s="332">
        <v>30</v>
      </c>
      <c r="Y42" s="332">
        <v>75</v>
      </c>
      <c r="Z42" s="332"/>
      <c r="AA42" s="332"/>
    </row>
    <row r="43" spans="1:27" ht="90.95">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31"/>
      <c r="V43" s="331"/>
      <c r="W43" s="331"/>
      <c r="X43" s="331"/>
      <c r="Y43" s="331"/>
      <c r="Z43" s="331"/>
      <c r="AA43" s="331"/>
    </row>
    <row r="44" spans="1:27" ht="39">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32" t="s">
        <v>1863</v>
      </c>
      <c r="V44" s="332" t="s">
        <v>1919</v>
      </c>
      <c r="W44" s="332" t="s">
        <v>1920</v>
      </c>
      <c r="X44" s="333" t="s">
        <v>1937</v>
      </c>
      <c r="Y44" s="332">
        <v>75</v>
      </c>
      <c r="Z44" s="332"/>
      <c r="AA44" s="332"/>
    </row>
    <row r="45" spans="1:27" ht="51.95">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31"/>
      <c r="V45" s="331" t="s">
        <v>1919</v>
      </c>
      <c r="W45" s="331" t="s">
        <v>1924</v>
      </c>
      <c r="X45" s="331">
        <v>15</v>
      </c>
      <c r="Y45" s="331">
        <v>75</v>
      </c>
      <c r="Z45" s="331"/>
      <c r="AA45" s="331"/>
    </row>
    <row r="46" spans="1:27" ht="14.45">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32"/>
      <c r="V46" s="332"/>
      <c r="W46" s="332"/>
      <c r="X46" s="332"/>
      <c r="Y46" s="332"/>
      <c r="Z46" s="332"/>
      <c r="AA46" s="332"/>
    </row>
    <row r="47" spans="1:27" ht="14.45">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31"/>
      <c r="V47" s="331"/>
      <c r="W47" s="331"/>
      <c r="X47" s="331"/>
      <c r="Y47" s="331"/>
      <c r="Z47" s="331"/>
      <c r="AA47" s="331"/>
    </row>
    <row r="48" spans="1:27" ht="14.45">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32"/>
      <c r="V48" s="332"/>
      <c r="W48" s="332"/>
      <c r="X48" s="332"/>
      <c r="Y48" s="332"/>
      <c r="Z48" s="332"/>
      <c r="AA48" s="332"/>
    </row>
    <row r="49" spans="1:27" ht="39">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31"/>
      <c r="V49" s="331"/>
      <c r="W49" s="331"/>
      <c r="X49" s="331"/>
      <c r="Y49" s="331"/>
      <c r="Z49" s="331"/>
      <c r="AA49" s="331"/>
    </row>
    <row r="50" spans="1:27" ht="39">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32" t="s">
        <v>1863</v>
      </c>
      <c r="V50" s="332" t="s">
        <v>1864</v>
      </c>
      <c r="W50" s="332"/>
      <c r="X50" s="332"/>
      <c r="Y50" s="332"/>
      <c r="Z50" s="332"/>
      <c r="AA50" s="332"/>
    </row>
    <row r="51" spans="1:27" ht="14.45">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31" t="s">
        <v>1863</v>
      </c>
      <c r="V51" s="331" t="s">
        <v>1864</v>
      </c>
      <c r="W51" s="331"/>
      <c r="X51" s="331"/>
      <c r="Y51" s="331"/>
      <c r="Z51" s="331"/>
      <c r="AA51" s="331"/>
    </row>
    <row r="52" spans="1:27" ht="51.95">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32"/>
      <c r="V52" s="332"/>
      <c r="W52" s="332"/>
      <c r="X52" s="332"/>
      <c r="Y52" s="332"/>
      <c r="Z52" s="332"/>
      <c r="AA52" s="332"/>
    </row>
    <row r="53" spans="1:27" ht="51.95">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31"/>
      <c r="V53" s="331"/>
      <c r="W53" s="331"/>
      <c r="X53" s="331"/>
      <c r="Y53" s="331"/>
      <c r="Z53" s="331"/>
      <c r="AA53" s="331"/>
    </row>
    <row r="54" spans="1:27" ht="14.45">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32"/>
      <c r="V54" s="332"/>
      <c r="W54" s="332"/>
      <c r="X54" s="332"/>
      <c r="Y54" s="332"/>
      <c r="Z54" s="332"/>
      <c r="AA54" s="332"/>
    </row>
    <row r="55" spans="1:27" ht="14.45">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31"/>
      <c r="V55" s="331"/>
      <c r="W55" s="331"/>
      <c r="X55" s="331"/>
      <c r="Y55" s="331"/>
      <c r="Z55" s="331"/>
      <c r="AA55" s="331"/>
    </row>
    <row r="56" spans="1:27" ht="39">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32"/>
      <c r="V56" s="332"/>
      <c r="W56" s="332"/>
      <c r="X56" s="332"/>
      <c r="Y56" s="332"/>
      <c r="Z56" s="332"/>
      <c r="AA56" s="332"/>
    </row>
    <row r="57" spans="1:27" ht="14.45">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31" t="s">
        <v>1863</v>
      </c>
      <c r="V57" s="331" t="s">
        <v>1919</v>
      </c>
      <c r="W57" s="331" t="s">
        <v>1924</v>
      </c>
      <c r="X57" s="334" t="s">
        <v>1952</v>
      </c>
      <c r="Y57" s="331">
        <v>70</v>
      </c>
      <c r="Z57" s="331"/>
      <c r="AA57" s="331"/>
    </row>
    <row r="58" spans="1:27" ht="14.45">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32" t="s">
        <v>1863</v>
      </c>
      <c r="V58" s="332" t="s">
        <v>1919</v>
      </c>
      <c r="W58" s="332" t="s">
        <v>1924</v>
      </c>
      <c r="X58" s="332">
        <v>25</v>
      </c>
      <c r="Y58" s="332">
        <v>75</v>
      </c>
      <c r="Z58" s="332"/>
      <c r="AA58" s="332"/>
    </row>
    <row r="59" spans="1:27" ht="14.45">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31" t="s">
        <v>1863</v>
      </c>
      <c r="V59" s="331" t="s">
        <v>1919</v>
      </c>
      <c r="W59" s="331" t="s">
        <v>1954</v>
      </c>
      <c r="X59" s="331" t="s">
        <v>1955</v>
      </c>
      <c r="Y59" s="331">
        <v>75</v>
      </c>
      <c r="Z59" s="331" t="s">
        <v>1956</v>
      </c>
      <c r="AA59" s="331"/>
    </row>
    <row r="60" spans="1:27" ht="39">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32" t="s">
        <v>1958</v>
      </c>
      <c r="V60" s="332" t="s">
        <v>1864</v>
      </c>
      <c r="W60" s="332"/>
      <c r="X60" s="332"/>
      <c r="Y60" s="332"/>
      <c r="Z60" s="332"/>
      <c r="AA60" s="332"/>
    </row>
    <row r="61" spans="1:27" ht="14.45">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31"/>
      <c r="V61" s="331"/>
      <c r="W61" s="331"/>
      <c r="X61" s="331"/>
      <c r="Y61" s="331"/>
      <c r="Z61" s="331"/>
      <c r="AA61" s="331"/>
    </row>
    <row r="62" spans="1:27" ht="14.45">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32" t="s">
        <v>1863</v>
      </c>
      <c r="V62" s="332" t="s">
        <v>1919</v>
      </c>
      <c r="W62" s="332" t="s">
        <v>1924</v>
      </c>
      <c r="X62" s="333" t="s">
        <v>1952</v>
      </c>
      <c r="Y62" s="332">
        <v>70</v>
      </c>
      <c r="Z62" s="332"/>
      <c r="AA62" s="332"/>
    </row>
    <row r="63" spans="1:27" ht="14.45">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31" t="s">
        <v>1863</v>
      </c>
      <c r="V63" s="331" t="s">
        <v>1919</v>
      </c>
      <c r="W63" s="331" t="s">
        <v>1924</v>
      </c>
      <c r="X63" s="331">
        <v>25</v>
      </c>
      <c r="Y63" s="331">
        <v>75</v>
      </c>
      <c r="Z63" s="331"/>
      <c r="AA63" s="331"/>
    </row>
    <row r="64" spans="1:27" ht="14.45">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32" t="s">
        <v>1863</v>
      </c>
      <c r="V64" s="332" t="s">
        <v>1919</v>
      </c>
      <c r="W64" s="332" t="s">
        <v>1954</v>
      </c>
      <c r="X64" s="332" t="s">
        <v>1955</v>
      </c>
      <c r="Y64" s="332">
        <v>75</v>
      </c>
      <c r="Z64" s="332" t="s">
        <v>1956</v>
      </c>
      <c r="AA64" s="332"/>
    </row>
    <row r="65" spans="1:27" ht="39">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31"/>
      <c r="V65" s="331"/>
      <c r="W65" s="331"/>
      <c r="X65" s="331"/>
      <c r="Y65" s="331"/>
      <c r="Z65" s="331"/>
      <c r="AA65" s="331"/>
    </row>
    <row r="66" spans="1:27" ht="14.45">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32"/>
      <c r="V66" s="332"/>
      <c r="W66" s="332"/>
      <c r="X66" s="332"/>
      <c r="Y66" s="332"/>
      <c r="Z66" s="332"/>
      <c r="AA66" s="332"/>
    </row>
    <row r="67" spans="1:27" ht="14.45">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31"/>
      <c r="V67" s="331"/>
      <c r="W67" s="331"/>
      <c r="X67" s="331"/>
      <c r="Y67" s="331"/>
      <c r="Z67" s="331"/>
      <c r="AA67" s="331"/>
    </row>
    <row r="68" spans="1:27" ht="39">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32"/>
      <c r="V68" s="332"/>
      <c r="W68" s="332"/>
      <c r="X68" s="332"/>
      <c r="Y68" s="332"/>
      <c r="Z68" s="332"/>
      <c r="AA68" s="332"/>
    </row>
    <row r="69" spans="1:27" ht="90.95">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31"/>
      <c r="V69" s="331"/>
      <c r="W69" s="331"/>
      <c r="X69" s="331"/>
      <c r="Y69" s="331"/>
      <c r="Z69" s="331"/>
      <c r="AA69" s="331"/>
    </row>
    <row r="70" spans="1:27" ht="26.1">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32" t="s">
        <v>1863</v>
      </c>
      <c r="V70" s="332" t="s">
        <v>1919</v>
      </c>
      <c r="W70" s="332">
        <v>180</v>
      </c>
      <c r="X70" s="333" t="s">
        <v>1937</v>
      </c>
      <c r="Y70" s="332">
        <v>75</v>
      </c>
      <c r="Z70" s="332"/>
      <c r="AA70" s="332"/>
    </row>
    <row r="71" spans="1:27" ht="65.099999999999994">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31"/>
      <c r="V71" s="331"/>
      <c r="W71" s="331"/>
      <c r="X71" s="331"/>
      <c r="Y71" s="331"/>
      <c r="Z71" s="331"/>
      <c r="AA71" s="331"/>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32"/>
      <c r="V72" s="332"/>
      <c r="W72" s="332"/>
      <c r="X72" s="332"/>
      <c r="Y72" s="332"/>
      <c r="Z72" s="332"/>
      <c r="AA72" s="332"/>
    </row>
    <row r="73" spans="1:27" ht="51.95">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31" t="s">
        <v>1863</v>
      </c>
      <c r="V73" s="331" t="s">
        <v>1919</v>
      </c>
      <c r="W73" s="331" t="s">
        <v>1973</v>
      </c>
      <c r="X73" s="331" t="s">
        <v>1937</v>
      </c>
      <c r="Y73" s="331">
        <v>75</v>
      </c>
      <c r="Z73" s="331"/>
      <c r="AA73" s="331"/>
    </row>
    <row r="74" spans="1:27" ht="14.45">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32"/>
      <c r="V74" s="332"/>
      <c r="W74" s="332"/>
      <c r="X74" s="332"/>
      <c r="Y74" s="332"/>
      <c r="Z74" s="332"/>
      <c r="AA74" s="332"/>
    </row>
    <row r="75" spans="1:27" ht="65.099999999999994">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31" t="s">
        <v>1863</v>
      </c>
      <c r="V75" s="331" t="s">
        <v>1864</v>
      </c>
      <c r="W75" s="331"/>
      <c r="X75" s="331"/>
      <c r="Y75" s="331"/>
      <c r="Z75" s="331"/>
      <c r="AA75" s="331"/>
    </row>
    <row r="76" spans="1:27" ht="14.45">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32"/>
      <c r="V76" s="332"/>
      <c r="W76" s="332"/>
      <c r="X76" s="332"/>
      <c r="Y76" s="332"/>
      <c r="Z76" s="332"/>
      <c r="AA76" s="332"/>
    </row>
    <row r="77" spans="1:27" ht="39">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31"/>
      <c r="V77" s="331"/>
      <c r="W77" s="331"/>
      <c r="X77" s="331"/>
      <c r="Y77" s="331"/>
      <c r="Z77" s="331"/>
      <c r="AA77" s="331"/>
    </row>
    <row r="78" spans="1:27" ht="26.1">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32" t="s">
        <v>1863</v>
      </c>
      <c r="V78" s="332" t="s">
        <v>1919</v>
      </c>
      <c r="W78" s="332">
        <v>160</v>
      </c>
      <c r="X78" s="335" t="s">
        <v>1980</v>
      </c>
      <c r="Y78" s="332"/>
      <c r="Z78" s="332"/>
      <c r="AA78" s="332"/>
    </row>
    <row r="79" spans="1:27" ht="14.45">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31" t="s">
        <v>1863</v>
      </c>
      <c r="V79" s="331" t="s">
        <v>1864</v>
      </c>
      <c r="W79" s="331"/>
      <c r="X79" s="331"/>
      <c r="Y79" s="331"/>
      <c r="Z79" s="331"/>
      <c r="AA79" s="331"/>
    </row>
    <row r="80" spans="1:27" ht="78">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32"/>
      <c r="V80" s="332"/>
      <c r="W80" s="332"/>
      <c r="X80" s="332"/>
      <c r="Y80" s="332"/>
      <c r="Z80" s="332"/>
      <c r="AA80" s="332"/>
    </row>
    <row r="81" spans="1:27" ht="65.099999999999994">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31"/>
      <c r="V81" s="331"/>
      <c r="W81" s="331"/>
      <c r="X81" s="331"/>
      <c r="Y81" s="331"/>
      <c r="Z81" s="331"/>
      <c r="AA81" s="331"/>
    </row>
    <row r="82" spans="1:27" ht="14.45">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32" t="s">
        <v>1863</v>
      </c>
      <c r="V82" s="332" t="s">
        <v>1864</v>
      </c>
      <c r="W82" s="332"/>
      <c r="X82" s="332"/>
      <c r="Y82" s="332"/>
      <c r="Z82" s="332"/>
      <c r="AA82" s="332"/>
    </row>
    <row r="83" spans="1:27" ht="26.1">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31"/>
      <c r="V83" s="331"/>
      <c r="W83" s="331"/>
      <c r="X83" s="331"/>
      <c r="Y83" s="331"/>
      <c r="Z83" s="331"/>
      <c r="AA83" s="331"/>
    </row>
    <row r="84" spans="1:27" ht="26.1">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32"/>
      <c r="V84" s="332"/>
      <c r="W84" s="332"/>
      <c r="X84" s="332"/>
      <c r="Y84" s="332"/>
      <c r="Z84" s="332"/>
      <c r="AA84" s="332"/>
    </row>
    <row r="85" spans="1:27" ht="14.45">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31"/>
      <c r="V85" s="331"/>
      <c r="W85" s="331"/>
      <c r="X85" s="331"/>
      <c r="Y85" s="331"/>
      <c r="Z85" s="331"/>
      <c r="AA85" s="331"/>
    </row>
    <row r="86" spans="1:27" ht="14.45">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32"/>
      <c r="V86" s="332"/>
      <c r="W86" s="332"/>
      <c r="X86" s="332"/>
      <c r="Y86" s="332"/>
      <c r="Z86" s="332"/>
      <c r="AA86" s="332"/>
    </row>
    <row r="87" spans="1:27" ht="78">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31"/>
      <c r="V87" s="331"/>
      <c r="W87" s="331"/>
      <c r="X87" s="331"/>
      <c r="Y87" s="331"/>
      <c r="Z87" s="331"/>
      <c r="AA87" s="331"/>
    </row>
    <row r="88" spans="1:27" ht="78">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32" t="s">
        <v>1863</v>
      </c>
      <c r="V88" s="332" t="s">
        <v>1919</v>
      </c>
      <c r="W88" s="332">
        <v>160</v>
      </c>
      <c r="X88" s="332" t="s">
        <v>1994</v>
      </c>
      <c r="Y88" s="332">
        <v>85</v>
      </c>
      <c r="Z88" s="332" t="s">
        <v>1995</v>
      </c>
      <c r="AA88" s="332"/>
    </row>
    <row r="89" spans="1:27" ht="14.45">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31" t="s">
        <v>1863</v>
      </c>
      <c r="V89" s="331" t="s">
        <v>1919</v>
      </c>
      <c r="W89" s="331" t="s">
        <v>1924</v>
      </c>
      <c r="X89" s="331">
        <v>6</v>
      </c>
      <c r="Y89" s="331"/>
      <c r="Z89" s="331"/>
      <c r="AA89" s="331"/>
    </row>
    <row r="90" spans="1:27" ht="78">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32"/>
      <c r="V90" s="332"/>
      <c r="W90" s="332"/>
      <c r="X90" s="332"/>
      <c r="Y90" s="332"/>
      <c r="Z90" s="332"/>
      <c r="AA90" s="332"/>
    </row>
    <row r="91" spans="1:27" ht="78">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31" t="s">
        <v>1863</v>
      </c>
      <c r="V91" s="331" t="s">
        <v>1919</v>
      </c>
      <c r="W91" s="331">
        <v>160</v>
      </c>
      <c r="X91" s="331" t="s">
        <v>1994</v>
      </c>
      <c r="Y91" s="331">
        <v>85</v>
      </c>
      <c r="Z91" s="331" t="s">
        <v>1997</v>
      </c>
      <c r="AA91" s="331"/>
    </row>
    <row r="92" spans="1:27" ht="14.45">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32"/>
      <c r="V92" s="332"/>
      <c r="W92" s="332"/>
      <c r="X92" s="332"/>
      <c r="Y92" s="332"/>
      <c r="Z92" s="332"/>
      <c r="AA92" s="332"/>
    </row>
    <row r="93" spans="1:27" ht="129.94999999999999">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31"/>
      <c r="V93" s="331"/>
      <c r="W93" s="331"/>
      <c r="X93" s="331"/>
      <c r="Y93" s="331"/>
      <c r="Z93" s="331"/>
      <c r="AA93" s="331"/>
    </row>
    <row r="94" spans="1:27" ht="129.94999999999999">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32" t="s">
        <v>1863</v>
      </c>
      <c r="V94" s="332" t="s">
        <v>1919</v>
      </c>
      <c r="W94" s="332">
        <v>160</v>
      </c>
      <c r="X94" s="332" t="s">
        <v>2002</v>
      </c>
      <c r="Y94" s="332">
        <v>75</v>
      </c>
      <c r="Z94" s="332" t="s">
        <v>2003</v>
      </c>
      <c r="AA94" s="332"/>
    </row>
    <row r="95" spans="1:27" ht="14.45">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31"/>
      <c r="V95" s="331"/>
      <c r="W95" s="331"/>
      <c r="X95" s="331"/>
      <c r="Y95" s="331"/>
      <c r="Z95" s="331"/>
      <c r="AA95" s="331"/>
    </row>
    <row r="96" spans="1:27" ht="14.45">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32"/>
      <c r="V96" s="332"/>
      <c r="W96" s="332"/>
      <c r="X96" s="332"/>
      <c r="Y96" s="332"/>
      <c r="Z96" s="332"/>
      <c r="AA96" s="332"/>
    </row>
    <row r="97" spans="1:27" ht="14.45">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31" t="s">
        <v>1863</v>
      </c>
      <c r="V97" s="331" t="s">
        <v>2006</v>
      </c>
      <c r="W97" s="331" t="s">
        <v>2007</v>
      </c>
      <c r="X97" s="331" t="s">
        <v>2008</v>
      </c>
      <c r="Y97" s="331"/>
      <c r="Z97" s="331" t="s">
        <v>2009</v>
      </c>
      <c r="AA97" s="331"/>
    </row>
    <row r="98" spans="1:27" ht="51.95">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32"/>
      <c r="V98" s="332"/>
      <c r="W98" s="332"/>
      <c r="X98" s="332"/>
      <c r="Y98" s="332"/>
      <c r="Z98" s="332"/>
      <c r="AA98" s="332"/>
    </row>
    <row r="99" spans="1:27" ht="26.1">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31" t="s">
        <v>1958</v>
      </c>
      <c r="V99" s="331" t="s">
        <v>1864</v>
      </c>
      <c r="W99" s="331"/>
      <c r="X99" s="331"/>
      <c r="Y99" s="331"/>
      <c r="Z99" s="331"/>
      <c r="AA99" s="331"/>
    </row>
    <row r="100" spans="1:27" ht="26.1">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32" t="s">
        <v>1863</v>
      </c>
      <c r="V100" s="332" t="s">
        <v>1864</v>
      </c>
      <c r="W100" s="332"/>
      <c r="X100" s="332"/>
      <c r="Y100" s="332"/>
      <c r="Z100" s="332"/>
      <c r="AA100" s="332"/>
    </row>
    <row r="101" spans="1:27" ht="78">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31"/>
      <c r="V101" s="331"/>
      <c r="W101" s="331"/>
      <c r="X101" s="331"/>
      <c r="Y101" s="331"/>
      <c r="Z101" s="331"/>
      <c r="AA101" s="331"/>
    </row>
    <row r="102" spans="1:27" ht="51.95">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32"/>
      <c r="V102" s="332"/>
      <c r="W102" s="332"/>
      <c r="X102" s="332"/>
      <c r="Y102" s="332"/>
      <c r="Z102" s="332"/>
      <c r="AA102" s="332"/>
    </row>
    <row r="103" spans="1:27" ht="26.1">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31"/>
      <c r="V103" s="331"/>
      <c r="W103" s="331"/>
      <c r="X103" s="331"/>
      <c r="Y103" s="331"/>
      <c r="Z103" s="331"/>
      <c r="AA103" s="331"/>
    </row>
    <row r="104" spans="1:27" ht="14.45">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32"/>
      <c r="V104" s="332"/>
      <c r="W104" s="332"/>
      <c r="X104" s="332"/>
      <c r="Y104" s="332"/>
      <c r="Z104" s="332"/>
      <c r="AA104" s="332"/>
    </row>
    <row r="105" spans="1:27" ht="14.45">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31"/>
      <c r="V105" s="331"/>
      <c r="W105" s="331"/>
      <c r="X105" s="331"/>
      <c r="Y105" s="331"/>
      <c r="Z105" s="331"/>
      <c r="AA105" s="331"/>
    </row>
    <row r="106" spans="1:27" ht="117">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32"/>
      <c r="V106" s="332"/>
      <c r="W106" s="332"/>
      <c r="X106" s="332"/>
      <c r="Y106" s="332"/>
      <c r="Z106" s="332"/>
      <c r="AA106" s="332"/>
    </row>
    <row r="107" spans="1:27" ht="104.1">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31" t="s">
        <v>1863</v>
      </c>
      <c r="V107" s="331" t="s">
        <v>1919</v>
      </c>
      <c r="W107" s="331">
        <v>160</v>
      </c>
      <c r="X107" s="331" t="s">
        <v>1925</v>
      </c>
      <c r="Y107" s="331">
        <v>80</v>
      </c>
      <c r="Z107" s="331" t="s">
        <v>2003</v>
      </c>
      <c r="AA107" s="331"/>
    </row>
    <row r="108" spans="1:27" ht="14.45">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32" t="s">
        <v>1863</v>
      </c>
      <c r="V108" s="332" t="s">
        <v>1919</v>
      </c>
      <c r="W108" s="332" t="s">
        <v>2007</v>
      </c>
      <c r="X108" s="332">
        <v>25</v>
      </c>
      <c r="Y108" s="332">
        <v>75</v>
      </c>
      <c r="Z108" s="332"/>
      <c r="AA108" s="332"/>
    </row>
    <row r="109" spans="1:27" ht="14.45">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31"/>
      <c r="V109" s="331"/>
      <c r="W109" s="331"/>
      <c r="X109" s="331"/>
      <c r="Y109" s="331"/>
      <c r="Z109" s="331"/>
      <c r="AA109" s="331"/>
    </row>
    <row r="110" spans="1:27" ht="14.45">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32"/>
      <c r="V110" s="332"/>
      <c r="W110" s="332"/>
      <c r="X110" s="332"/>
      <c r="Y110" s="332"/>
      <c r="Z110" s="332"/>
      <c r="AA110" s="332"/>
    </row>
    <row r="111" spans="1:27" ht="65.099999999999994">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31"/>
      <c r="V111" s="331"/>
      <c r="W111" s="331"/>
      <c r="X111" s="331"/>
      <c r="Y111" s="331"/>
      <c r="Z111" s="331"/>
      <c r="AA111" s="331"/>
    </row>
    <row r="112" spans="1:27" ht="65.099999999999994">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32" t="s">
        <v>1863</v>
      </c>
      <c r="V112" s="332" t="s">
        <v>1919</v>
      </c>
      <c r="W112" s="332">
        <v>160</v>
      </c>
      <c r="X112" s="332" t="s">
        <v>2025</v>
      </c>
      <c r="Y112" s="332">
        <v>75</v>
      </c>
      <c r="Z112" s="332" t="s">
        <v>2003</v>
      </c>
      <c r="AA112" s="332"/>
    </row>
    <row r="113" spans="1:27" ht="14.45">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31"/>
      <c r="V113" s="331"/>
      <c r="W113" s="331"/>
      <c r="X113" s="331"/>
      <c r="Y113" s="331"/>
      <c r="Z113" s="331"/>
      <c r="AA113" s="331"/>
    </row>
    <row r="114" spans="1:27" ht="14.45">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32"/>
      <c r="V114" s="332"/>
      <c r="W114" s="332"/>
      <c r="X114" s="332"/>
      <c r="Y114" s="332"/>
      <c r="Z114" s="332"/>
      <c r="AA114" s="332"/>
    </row>
    <row r="115" spans="1:27" ht="51.95">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31"/>
      <c r="V115" s="331"/>
      <c r="W115" s="331"/>
      <c r="X115" s="331"/>
      <c r="Y115" s="331"/>
      <c r="Z115" s="331"/>
      <c r="AA115" s="331"/>
    </row>
    <row r="116" spans="1:27" ht="51.95">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32"/>
      <c r="V116" s="332"/>
      <c r="W116" s="332"/>
      <c r="X116" s="332"/>
      <c r="Y116" s="332"/>
      <c r="Z116" s="332"/>
      <c r="AA116" s="332"/>
    </row>
    <row r="117" spans="1:27" ht="14.45">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31"/>
      <c r="V117" s="331"/>
      <c r="W117" s="331"/>
      <c r="X117" s="331"/>
      <c r="Y117" s="331"/>
      <c r="Z117" s="331"/>
      <c r="AA117" s="331"/>
    </row>
    <row r="118" spans="1:27" ht="51.95">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32"/>
      <c r="V118" s="332"/>
      <c r="W118" s="332"/>
      <c r="X118" s="332"/>
      <c r="Y118" s="332"/>
      <c r="Z118" s="332"/>
      <c r="AA118" s="332"/>
    </row>
    <row r="119" spans="1:27" ht="51.95">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31"/>
      <c r="V119" s="331"/>
      <c r="W119" s="331"/>
      <c r="X119" s="331"/>
      <c r="Y119" s="331"/>
      <c r="Z119" s="331"/>
      <c r="AA119" s="331"/>
    </row>
    <row r="120" spans="1:27" ht="14.45">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32"/>
      <c r="V120" s="332"/>
      <c r="W120" s="332"/>
      <c r="X120" s="332"/>
      <c r="Y120" s="332"/>
      <c r="Z120" s="332"/>
      <c r="AA120" s="332"/>
    </row>
    <row r="121" spans="1:27" ht="14.45">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31"/>
      <c r="V121" s="331"/>
      <c r="W121" s="331"/>
      <c r="X121" s="331"/>
      <c r="Y121" s="331"/>
      <c r="Z121" s="331"/>
      <c r="AA121" s="331"/>
    </row>
    <row r="122" spans="1:27" ht="14.45">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32"/>
      <c r="V122" s="332"/>
      <c r="W122" s="332"/>
      <c r="X122" s="332"/>
      <c r="Y122" s="332"/>
      <c r="Z122" s="332"/>
      <c r="AA122" s="332"/>
    </row>
    <row r="123" spans="1:27" ht="90.95">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31"/>
      <c r="V123" s="331"/>
      <c r="W123" s="331"/>
      <c r="X123" s="331"/>
      <c r="Y123" s="331"/>
      <c r="Z123" s="331"/>
      <c r="AA123" s="331"/>
    </row>
    <row r="124" spans="1:27" ht="26.1">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32" t="s">
        <v>1863</v>
      </c>
      <c r="V124" s="332" t="s">
        <v>1919</v>
      </c>
      <c r="W124" s="332">
        <v>180</v>
      </c>
      <c r="X124" s="332" t="s">
        <v>2038</v>
      </c>
      <c r="Y124" s="332">
        <v>75</v>
      </c>
      <c r="Z124" s="332"/>
      <c r="AA124" s="332"/>
    </row>
    <row r="125" spans="1:27" ht="14.45">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31" t="s">
        <v>1958</v>
      </c>
      <c r="V125" s="331" t="s">
        <v>1919</v>
      </c>
      <c r="W125" s="331" t="s">
        <v>2007</v>
      </c>
      <c r="X125" s="331" t="s">
        <v>2039</v>
      </c>
      <c r="Y125" s="331"/>
      <c r="Z125" s="331"/>
      <c r="AA125" s="331"/>
    </row>
    <row r="126" spans="1:27" ht="65.099999999999994">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32" t="s">
        <v>1863</v>
      </c>
      <c r="V126" s="332" t="s">
        <v>1864</v>
      </c>
      <c r="W126" s="332"/>
      <c r="X126" s="332"/>
      <c r="Y126" s="332"/>
      <c r="Z126" s="332"/>
      <c r="AA126" s="332"/>
    </row>
    <row r="127" spans="1:27" ht="104.1">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31"/>
      <c r="V127" s="331"/>
      <c r="W127" s="331"/>
      <c r="X127" s="331"/>
      <c r="Y127" s="331"/>
      <c r="Z127" s="331"/>
      <c r="AA127" s="331"/>
    </row>
    <row r="128" spans="1:27" ht="39">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32" t="s">
        <v>1863</v>
      </c>
      <c r="V128" s="332" t="s">
        <v>1919</v>
      </c>
      <c r="W128" s="332">
        <v>180</v>
      </c>
      <c r="X128" s="333" t="s">
        <v>1937</v>
      </c>
      <c r="Y128" s="332">
        <v>75</v>
      </c>
      <c r="Z128" s="332"/>
      <c r="AA128" s="332"/>
    </row>
    <row r="129" spans="1:27" ht="14.45">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31"/>
      <c r="V129" s="331"/>
      <c r="W129" s="331"/>
      <c r="X129" s="331"/>
      <c r="Y129" s="331"/>
      <c r="Z129" s="331"/>
      <c r="AA129" s="331"/>
    </row>
    <row r="130" spans="1:27" ht="65.099999999999994">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32"/>
      <c r="V130" s="332"/>
      <c r="W130" s="332"/>
      <c r="X130" s="332"/>
      <c r="Y130" s="332"/>
      <c r="Z130" s="332"/>
      <c r="AA130" s="332"/>
    </row>
    <row r="131" spans="1:27" ht="90.95">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31"/>
      <c r="V131" s="331"/>
      <c r="W131" s="331"/>
      <c r="X131" s="331"/>
      <c r="Y131" s="331"/>
      <c r="Z131" s="331"/>
      <c r="AA131" s="331"/>
    </row>
    <row r="132" spans="1:27" ht="26.1">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32" t="s">
        <v>1863</v>
      </c>
      <c r="V132" s="332" t="s">
        <v>1919</v>
      </c>
      <c r="W132" s="332">
        <v>180</v>
      </c>
      <c r="X132" s="332" t="s">
        <v>2038</v>
      </c>
      <c r="Y132" s="332">
        <v>75</v>
      </c>
      <c r="Z132" s="332"/>
      <c r="AA132" s="332"/>
    </row>
    <row r="133" spans="1:27" ht="14.45">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31"/>
      <c r="V133" s="331"/>
      <c r="W133" s="331"/>
      <c r="X133" s="331"/>
      <c r="Y133" s="331"/>
      <c r="Z133" s="331"/>
      <c r="AA133" s="331"/>
    </row>
    <row r="134" spans="1:27" ht="65.099999999999994">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32"/>
      <c r="V134" s="332"/>
      <c r="W134" s="332"/>
      <c r="X134" s="332"/>
      <c r="Y134" s="332"/>
      <c r="Z134" s="332"/>
      <c r="AA134" s="332"/>
    </row>
    <row r="135" spans="1:27" ht="104.1">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31"/>
      <c r="V135" s="331"/>
      <c r="W135" s="331"/>
      <c r="X135" s="331"/>
      <c r="Y135" s="331"/>
      <c r="Z135" s="331"/>
      <c r="AA135" s="331"/>
    </row>
    <row r="136" spans="1:27" ht="39">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32" t="s">
        <v>1863</v>
      </c>
      <c r="V136" s="332" t="s">
        <v>1919</v>
      </c>
      <c r="W136" s="332">
        <v>180</v>
      </c>
      <c r="X136" s="333" t="s">
        <v>1937</v>
      </c>
      <c r="Y136" s="332">
        <v>75</v>
      </c>
      <c r="Z136" s="332"/>
      <c r="AA136" s="332"/>
    </row>
    <row r="137" spans="1:27" ht="14.45">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31"/>
      <c r="V137" s="331"/>
      <c r="W137" s="331"/>
      <c r="X137" s="331"/>
      <c r="Y137" s="331"/>
      <c r="Z137" s="331"/>
      <c r="AA137" s="331"/>
    </row>
    <row r="138" spans="1:27" ht="65.099999999999994">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32"/>
      <c r="V138" s="332"/>
      <c r="W138" s="332"/>
      <c r="X138" s="332"/>
      <c r="Y138" s="332"/>
      <c r="Z138" s="332"/>
      <c r="AA138" s="332"/>
    </row>
    <row r="139" spans="1:27" ht="26.1">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31"/>
      <c r="V139" s="331"/>
      <c r="W139" s="331"/>
      <c r="X139" s="331"/>
      <c r="Y139" s="331"/>
      <c r="Z139" s="331"/>
      <c r="AA139" s="331"/>
    </row>
    <row r="140" spans="1:27" ht="26.1">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32"/>
      <c r="V140" s="332"/>
      <c r="W140" s="332"/>
      <c r="X140" s="332"/>
      <c r="Y140" s="332"/>
      <c r="Z140" s="332"/>
      <c r="AA140" s="332"/>
    </row>
    <row r="141" spans="1:27" ht="90.95">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31"/>
      <c r="V141" s="331"/>
      <c r="W141" s="331"/>
      <c r="X141" s="331"/>
      <c r="Y141" s="331"/>
      <c r="Z141" s="331"/>
      <c r="AA141" s="331"/>
    </row>
    <row r="142" spans="1:27" ht="51.95">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32"/>
      <c r="V142" s="332"/>
      <c r="W142" s="332"/>
      <c r="X142" s="332"/>
      <c r="Y142" s="332"/>
      <c r="Z142" s="332"/>
      <c r="AA142" s="332"/>
    </row>
    <row r="143" spans="1:27" ht="39">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31"/>
      <c r="V143" s="331"/>
      <c r="W143" s="331"/>
      <c r="X143" s="331"/>
      <c r="Y143" s="331"/>
      <c r="Z143" s="331"/>
      <c r="AA143" s="331"/>
    </row>
    <row r="144" spans="1:27" ht="90.95">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32"/>
      <c r="V144" s="332"/>
      <c r="W144" s="332"/>
      <c r="X144" s="332"/>
      <c r="Y144" s="332"/>
      <c r="Z144" s="332"/>
      <c r="AA144" s="332"/>
    </row>
    <row r="145" spans="1:27" ht="51.95">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31"/>
      <c r="V145" s="331"/>
      <c r="W145" s="331"/>
      <c r="X145" s="331"/>
      <c r="Y145" s="331"/>
      <c r="Z145" s="331"/>
      <c r="AA145" s="331"/>
    </row>
    <row r="146" spans="1:27" ht="39">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32"/>
      <c r="V146" s="332"/>
      <c r="W146" s="332"/>
      <c r="X146" s="332"/>
      <c r="Y146" s="332"/>
      <c r="Z146" s="332"/>
      <c r="AA146" s="332"/>
    </row>
    <row r="147" spans="1:27" ht="14.45">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31"/>
      <c r="V147" s="331"/>
      <c r="W147" s="331"/>
      <c r="X147" s="331"/>
      <c r="Y147" s="331"/>
      <c r="Z147" s="331"/>
      <c r="AA147" s="331"/>
    </row>
    <row r="148" spans="1:27" ht="14.45">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32"/>
      <c r="V148" s="332"/>
      <c r="W148" s="332"/>
      <c r="X148" s="332"/>
      <c r="Y148" s="332"/>
      <c r="Z148" s="332"/>
      <c r="AA148" s="332"/>
    </row>
    <row r="149" spans="1:27" ht="51.95">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31"/>
      <c r="V149" s="331"/>
      <c r="W149" s="331"/>
      <c r="X149" s="331"/>
      <c r="Y149" s="331"/>
      <c r="Z149" s="331"/>
      <c r="AA149" s="331"/>
    </row>
    <row r="150" spans="1:27" ht="26.1">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32" t="s">
        <v>1863</v>
      </c>
      <c r="V150" s="332" t="s">
        <v>1919</v>
      </c>
      <c r="W150" s="332" t="s">
        <v>2007</v>
      </c>
      <c r="X150" s="332" t="s">
        <v>2066</v>
      </c>
      <c r="Y150" s="332">
        <v>75</v>
      </c>
      <c r="Z150" s="332" t="s">
        <v>2067</v>
      </c>
      <c r="AA150" s="332"/>
    </row>
    <row r="151" spans="1:27" ht="14.45">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31" t="s">
        <v>1863</v>
      </c>
      <c r="V151" s="331" t="s">
        <v>1864</v>
      </c>
      <c r="W151" s="331"/>
      <c r="X151" s="331"/>
      <c r="Y151" s="331"/>
      <c r="Z151" s="331"/>
      <c r="AA151" s="331"/>
    </row>
    <row r="152" spans="1:27" ht="26.1">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32"/>
      <c r="V152" s="332"/>
      <c r="W152" s="332"/>
      <c r="X152" s="332"/>
      <c r="Y152" s="332"/>
      <c r="Z152" s="332"/>
      <c r="AA152" s="332"/>
    </row>
    <row r="153" spans="1:27" ht="78">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31"/>
      <c r="V153" s="331"/>
      <c r="W153" s="331"/>
      <c r="X153" s="331"/>
      <c r="Y153" s="331"/>
      <c r="Z153" s="331"/>
      <c r="AA153" s="331"/>
    </row>
    <row r="154" spans="1:27" ht="26.1">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32"/>
      <c r="V154" s="332"/>
      <c r="W154" s="332"/>
      <c r="X154" s="332"/>
      <c r="Y154" s="332"/>
      <c r="Z154" s="332"/>
      <c r="AA154" s="332"/>
    </row>
    <row r="155" spans="1:27" ht="51.95">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31"/>
      <c r="V155" s="331"/>
      <c r="W155" s="331"/>
      <c r="X155" s="331"/>
      <c r="Y155" s="331"/>
      <c r="Z155" s="331"/>
      <c r="AA155" s="331"/>
    </row>
    <row r="156" spans="1:27" ht="26.1">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32"/>
      <c r="V156" s="332"/>
      <c r="W156" s="332"/>
      <c r="X156" s="332"/>
      <c r="Y156" s="332"/>
      <c r="Z156" s="332"/>
      <c r="AA156" s="332"/>
    </row>
    <row r="157" spans="1:27" ht="26.1">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31"/>
      <c r="V157" s="331"/>
      <c r="W157" s="331"/>
      <c r="X157" s="331"/>
      <c r="Y157" s="331"/>
      <c r="Z157" s="331"/>
      <c r="AA157" s="331"/>
    </row>
    <row r="158" spans="1:27" ht="26.1">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32"/>
      <c r="V158" s="332"/>
      <c r="W158" s="332"/>
      <c r="X158" s="332"/>
      <c r="Y158" s="332"/>
      <c r="Z158" s="332"/>
      <c r="AA158" s="332"/>
    </row>
    <row r="159" spans="1:27" ht="39">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31"/>
      <c r="V159" s="331"/>
      <c r="W159" s="331"/>
      <c r="X159" s="331"/>
      <c r="Y159" s="331"/>
      <c r="Z159" s="331"/>
      <c r="AA159" s="331"/>
    </row>
    <row r="160" spans="1:27" ht="39">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32" t="s">
        <v>1863</v>
      </c>
      <c r="V160" s="332" t="s">
        <v>1919</v>
      </c>
      <c r="W160" s="332" t="s">
        <v>2007</v>
      </c>
      <c r="X160" s="332" t="s">
        <v>2039</v>
      </c>
      <c r="Y160" s="332">
        <v>75</v>
      </c>
      <c r="Z160" s="332" t="s">
        <v>2003</v>
      </c>
      <c r="AA160" s="332"/>
    </row>
    <row r="161" spans="1:27" ht="39">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31"/>
      <c r="V161" s="331"/>
      <c r="W161" s="331"/>
      <c r="X161" s="331"/>
      <c r="Y161" s="331"/>
      <c r="Z161" s="331"/>
      <c r="AA161" s="331"/>
    </row>
    <row r="162" spans="1:27" ht="39">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32" t="s">
        <v>1863</v>
      </c>
      <c r="V162" s="332" t="s">
        <v>1919</v>
      </c>
      <c r="W162" s="332" t="s">
        <v>2007</v>
      </c>
      <c r="X162" s="332" t="s">
        <v>2039</v>
      </c>
      <c r="Y162" s="332">
        <v>75</v>
      </c>
      <c r="Z162" s="332" t="s">
        <v>2003</v>
      </c>
      <c r="AA162" s="332"/>
    </row>
    <row r="163" spans="1:27" ht="26.1">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31"/>
      <c r="V163" s="331"/>
      <c r="W163" s="331"/>
      <c r="X163" s="331"/>
      <c r="Y163" s="331"/>
      <c r="Z163" s="331"/>
      <c r="AA163" s="331"/>
    </row>
    <row r="164" spans="1:27" ht="51.95">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32"/>
      <c r="V164" s="332"/>
      <c r="W164" s="332"/>
      <c r="X164" s="332"/>
      <c r="Y164" s="332"/>
      <c r="Z164" s="332"/>
      <c r="AA164" s="332"/>
    </row>
    <row r="165" spans="1:27" ht="39">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31"/>
      <c r="V165" s="331"/>
      <c r="W165" s="331"/>
      <c r="X165" s="331"/>
      <c r="Y165" s="331"/>
      <c r="Z165" s="331"/>
      <c r="AA165" s="331"/>
    </row>
    <row r="166" spans="1:27" ht="14.45">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32"/>
      <c r="V166" s="332"/>
      <c r="W166" s="332"/>
      <c r="X166" s="332"/>
      <c r="Y166" s="332"/>
      <c r="Z166" s="332"/>
      <c r="AA166" s="332"/>
    </row>
    <row r="167" spans="1:27" ht="14.45">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31"/>
      <c r="V167" s="331"/>
      <c r="W167" s="331"/>
      <c r="X167" s="331"/>
      <c r="Y167" s="331"/>
      <c r="Z167" s="331"/>
      <c r="AA167" s="331"/>
    </row>
    <row r="168" spans="1:27" ht="14.45">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32"/>
      <c r="V168" s="332"/>
      <c r="W168" s="332"/>
      <c r="X168" s="332"/>
      <c r="Y168" s="332"/>
      <c r="Z168" s="332"/>
      <c r="AA168" s="332"/>
    </row>
    <row r="169" spans="1:27" ht="39">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31"/>
      <c r="V169" s="331"/>
      <c r="W169" s="331"/>
      <c r="X169" s="331"/>
      <c r="Y169" s="331"/>
      <c r="Z169" s="331"/>
      <c r="AA169" s="331"/>
    </row>
    <row r="170" spans="1:27" ht="14.45">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32"/>
      <c r="V170" s="332"/>
      <c r="W170" s="332"/>
      <c r="X170" s="332"/>
      <c r="Y170" s="332"/>
      <c r="Z170" s="332"/>
      <c r="AA170" s="332"/>
    </row>
    <row r="171" spans="1:27" ht="26.1">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31"/>
      <c r="V171" s="331"/>
      <c r="W171" s="331"/>
      <c r="X171" s="331"/>
      <c r="Y171" s="331"/>
      <c r="Z171" s="331"/>
      <c r="AA171" s="331"/>
    </row>
    <row r="172" spans="1:27" ht="78">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32"/>
      <c r="V172" s="332"/>
      <c r="W172" s="332"/>
      <c r="X172" s="332"/>
      <c r="Y172" s="332"/>
      <c r="Z172" s="332"/>
      <c r="AA172" s="332"/>
    </row>
    <row r="173" spans="1:27" ht="51.95">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31"/>
      <c r="V173" s="331"/>
      <c r="W173" s="331"/>
      <c r="X173" s="331"/>
      <c r="Y173" s="331"/>
      <c r="Z173" s="331"/>
      <c r="AA173" s="331"/>
    </row>
    <row r="174" spans="1:27" ht="26.1">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32"/>
      <c r="V174" s="332"/>
      <c r="W174" s="332"/>
      <c r="X174" s="332"/>
      <c r="Y174" s="332"/>
      <c r="Z174" s="332"/>
      <c r="AA174" s="332"/>
    </row>
    <row r="175" spans="1:27" ht="14.45">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31"/>
      <c r="V175" s="331"/>
      <c r="W175" s="331"/>
      <c r="X175" s="331"/>
      <c r="Y175" s="331"/>
      <c r="Z175" s="331"/>
      <c r="AA175" s="331"/>
    </row>
    <row r="176" spans="1:27" ht="14.45">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32"/>
      <c r="V176" s="332"/>
      <c r="W176" s="332"/>
      <c r="X176" s="332"/>
      <c r="Y176" s="332"/>
      <c r="Z176" s="332"/>
      <c r="AA176" s="332"/>
    </row>
    <row r="177" spans="1:27" ht="78">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31"/>
      <c r="V177" s="331"/>
      <c r="W177" s="331"/>
      <c r="X177" s="331"/>
      <c r="Y177" s="331"/>
      <c r="Z177" s="331"/>
      <c r="AA177" s="331"/>
    </row>
    <row r="178" spans="1:27" ht="39">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32" t="s">
        <v>1863</v>
      </c>
      <c r="V178" s="332" t="s">
        <v>1919</v>
      </c>
      <c r="W178" s="332">
        <v>160</v>
      </c>
      <c r="X178" s="332" t="s">
        <v>2091</v>
      </c>
      <c r="Y178" s="332">
        <v>75</v>
      </c>
      <c r="Z178" s="332" t="s">
        <v>2003</v>
      </c>
      <c r="AA178" s="332"/>
    </row>
    <row r="179" spans="1:27" ht="39">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31" t="s">
        <v>1863</v>
      </c>
      <c r="V179" s="331" t="s">
        <v>1864</v>
      </c>
      <c r="W179" s="331"/>
      <c r="X179" s="331"/>
      <c r="Y179" s="331"/>
      <c r="Z179" s="331"/>
      <c r="AA179" s="331"/>
    </row>
    <row r="180" spans="1:27" ht="14.45">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32" t="s">
        <v>1863</v>
      </c>
      <c r="V180" s="332" t="s">
        <v>1864</v>
      </c>
      <c r="W180" s="332"/>
      <c r="X180" s="332"/>
      <c r="Y180" s="332"/>
      <c r="Z180" s="332"/>
      <c r="AA180" s="332"/>
    </row>
    <row r="181" spans="1:27" ht="51.95">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31"/>
      <c r="V181" s="331"/>
      <c r="W181" s="331"/>
      <c r="X181" s="331"/>
      <c r="Y181" s="331"/>
      <c r="Z181" s="331"/>
      <c r="AA181" s="331"/>
    </row>
    <row r="182" spans="1:27" ht="39">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32"/>
      <c r="V182" s="332"/>
      <c r="W182" s="332"/>
      <c r="X182" s="332"/>
      <c r="Y182" s="332"/>
      <c r="Z182" s="332"/>
      <c r="AA182" s="332"/>
    </row>
    <row r="183" spans="1:27" ht="14.45">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31"/>
      <c r="V183" s="331"/>
      <c r="W183" s="331"/>
      <c r="X183" s="331"/>
      <c r="Y183" s="331"/>
      <c r="Z183" s="331"/>
      <c r="AA183" s="331"/>
    </row>
    <row r="184" spans="1:27" ht="14.45">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32"/>
      <c r="V184" s="332"/>
      <c r="W184" s="332"/>
      <c r="X184" s="332"/>
      <c r="Y184" s="332"/>
      <c r="Z184" s="332"/>
      <c r="AA184" s="332"/>
    </row>
    <row r="185" spans="1:27" ht="129.94999999999999">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31"/>
      <c r="V185" s="331"/>
      <c r="W185" s="331"/>
      <c r="X185" s="331"/>
      <c r="Y185" s="331"/>
      <c r="Z185" s="331"/>
      <c r="AA185" s="331"/>
    </row>
    <row r="186" spans="1:27" ht="90.95">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32" t="s">
        <v>1863</v>
      </c>
      <c r="V186" s="332" t="s">
        <v>1919</v>
      </c>
      <c r="W186" s="332">
        <v>160</v>
      </c>
      <c r="X186" s="332" t="s">
        <v>2039</v>
      </c>
      <c r="Y186" s="332">
        <v>75</v>
      </c>
      <c r="Z186" s="332" t="s">
        <v>2003</v>
      </c>
      <c r="AA186" s="332"/>
    </row>
    <row r="187" spans="1:27" ht="39">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31"/>
      <c r="V187" s="331"/>
      <c r="W187" s="331"/>
      <c r="X187" s="331"/>
      <c r="Y187" s="331"/>
      <c r="Z187" s="331"/>
      <c r="AA187" s="331"/>
    </row>
    <row r="188" spans="1:27" ht="51.95">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32"/>
      <c r="V188" s="332"/>
      <c r="W188" s="332"/>
      <c r="X188" s="332"/>
      <c r="Y188" s="332"/>
      <c r="Z188" s="332"/>
      <c r="AA188" s="332"/>
    </row>
    <row r="189" spans="1:27" ht="51.95">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31" t="s">
        <v>1863</v>
      </c>
      <c r="V189" s="331" t="s">
        <v>1919</v>
      </c>
      <c r="W189" s="331">
        <v>160</v>
      </c>
      <c r="X189" s="331" t="s">
        <v>2002</v>
      </c>
      <c r="Y189" s="331">
        <v>75</v>
      </c>
      <c r="Z189" s="331" t="s">
        <v>2003</v>
      </c>
      <c r="AA189" s="331"/>
    </row>
    <row r="190" spans="1:27" ht="90.95">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32"/>
      <c r="V190" s="332"/>
      <c r="W190" s="332"/>
      <c r="X190" s="332"/>
      <c r="Y190" s="332"/>
      <c r="Z190" s="332"/>
      <c r="AA190" s="332"/>
    </row>
    <row r="191" spans="1:27" ht="78">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31" t="s">
        <v>1863</v>
      </c>
      <c r="V191" s="331" t="s">
        <v>1919</v>
      </c>
      <c r="W191" s="331">
        <v>160</v>
      </c>
      <c r="X191" s="331" t="s">
        <v>2025</v>
      </c>
      <c r="Y191" s="331">
        <v>75</v>
      </c>
      <c r="Z191" s="331" t="s">
        <v>2003</v>
      </c>
      <c r="AA191" s="331"/>
    </row>
    <row r="192" spans="1:27" ht="14.45">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32"/>
      <c r="V192" s="332"/>
      <c r="W192" s="332"/>
      <c r="X192" s="332"/>
      <c r="Y192" s="332"/>
      <c r="Z192" s="332"/>
      <c r="AA192" s="332"/>
    </row>
    <row r="193" spans="1:27" ht="14.45">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31"/>
      <c r="V193" s="331"/>
      <c r="W193" s="331"/>
      <c r="X193" s="331"/>
      <c r="Y193" s="331"/>
      <c r="Z193" s="331"/>
      <c r="AA193" s="331"/>
    </row>
    <row r="194" spans="1:27" ht="78">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32"/>
      <c r="V194" s="332"/>
      <c r="W194" s="332"/>
      <c r="X194" s="332"/>
      <c r="Y194" s="332"/>
      <c r="Z194" s="332"/>
      <c r="AA194" s="332"/>
    </row>
    <row r="195" spans="1:27" ht="51.95">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31"/>
      <c r="V195" s="331"/>
      <c r="W195" s="331"/>
      <c r="X195" s="331"/>
      <c r="Y195" s="331"/>
      <c r="Z195" s="331"/>
      <c r="AA195" s="331"/>
    </row>
    <row r="196" spans="1:27" ht="26.1">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32"/>
      <c r="V196" s="332"/>
      <c r="W196" s="332"/>
      <c r="X196" s="332"/>
      <c r="Y196" s="332"/>
      <c r="Z196" s="332"/>
      <c r="AA196" s="332"/>
    </row>
    <row r="197" spans="1:27" ht="90.95">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31"/>
      <c r="V197" s="331"/>
      <c r="W197" s="331"/>
      <c r="X197" s="331"/>
      <c r="Y197" s="331"/>
      <c r="Z197" s="331"/>
      <c r="AA197" s="331"/>
    </row>
    <row r="198" spans="1:27" ht="65.099999999999994">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32"/>
      <c r="V198" s="332"/>
      <c r="W198" s="332"/>
      <c r="X198" s="332"/>
      <c r="Y198" s="332"/>
      <c r="Z198" s="332"/>
      <c r="AA198" s="332"/>
    </row>
    <row r="199" spans="1:27" ht="26.1">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31"/>
      <c r="V199" s="331"/>
      <c r="W199" s="331"/>
      <c r="X199" s="331"/>
      <c r="Y199" s="331"/>
      <c r="Z199" s="331"/>
      <c r="AA199" s="331"/>
    </row>
    <row r="200" spans="1:27" ht="14.45">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32"/>
      <c r="V200" s="332"/>
      <c r="W200" s="332"/>
      <c r="X200" s="332"/>
      <c r="Y200" s="332"/>
      <c r="Z200" s="332"/>
      <c r="AA200" s="332"/>
    </row>
    <row r="201" spans="1:27" ht="14.45">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31"/>
      <c r="V201" s="331"/>
      <c r="W201" s="331"/>
      <c r="X201" s="331"/>
      <c r="Y201" s="331"/>
      <c r="Z201" s="331"/>
      <c r="AA201" s="331"/>
    </row>
    <row r="202" spans="1:27" ht="78">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32"/>
      <c r="V202" s="332"/>
      <c r="W202" s="332"/>
      <c r="X202" s="332"/>
      <c r="Y202" s="332"/>
      <c r="Z202" s="332"/>
      <c r="AA202" s="332"/>
    </row>
    <row r="203" spans="1:27" ht="65.099999999999994">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31" t="s">
        <v>1863</v>
      </c>
      <c r="V203" s="331" t="s">
        <v>2006</v>
      </c>
      <c r="W203" s="331">
        <v>140</v>
      </c>
      <c r="X203" s="331" t="s">
        <v>2115</v>
      </c>
      <c r="Y203" s="331">
        <v>75</v>
      </c>
      <c r="Z203" s="331" t="s">
        <v>2003</v>
      </c>
      <c r="AA203" s="331"/>
    </row>
    <row r="204" spans="1:27" ht="14.45">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32" t="s">
        <v>1863</v>
      </c>
      <c r="V204" s="332" t="s">
        <v>1919</v>
      </c>
      <c r="W204" s="332" t="s">
        <v>2007</v>
      </c>
      <c r="X204" s="332">
        <v>6</v>
      </c>
      <c r="Y204" s="332" t="s">
        <v>2116</v>
      </c>
      <c r="Z204" s="332"/>
      <c r="AA204" s="332"/>
    </row>
    <row r="205" spans="1:27" ht="117">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31"/>
      <c r="V205" s="331"/>
      <c r="W205" s="331"/>
      <c r="X205" s="331"/>
      <c r="Y205" s="331"/>
      <c r="Z205" s="331"/>
      <c r="AA205" s="331"/>
    </row>
    <row r="206" spans="1:27" ht="104.1">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32" t="s">
        <v>1863</v>
      </c>
      <c r="V206" s="332" t="s">
        <v>2006</v>
      </c>
      <c r="W206" s="332">
        <v>140</v>
      </c>
      <c r="X206" s="332" t="s">
        <v>2039</v>
      </c>
      <c r="Y206" s="332">
        <v>75</v>
      </c>
      <c r="Z206" s="332" t="s">
        <v>2003</v>
      </c>
      <c r="AA206" s="332"/>
    </row>
    <row r="207" spans="1:27" ht="14.45">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31"/>
      <c r="V207" s="331"/>
      <c r="W207" s="331"/>
      <c r="X207" s="331"/>
      <c r="Y207" s="331"/>
      <c r="Z207" s="331"/>
      <c r="AA207" s="331"/>
    </row>
    <row r="208" spans="1:27" ht="14.45">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32"/>
      <c r="V208" s="332"/>
      <c r="W208" s="332"/>
      <c r="X208" s="332"/>
      <c r="Y208" s="332"/>
      <c r="Z208" s="332"/>
      <c r="AA208" s="332"/>
    </row>
    <row r="209" spans="1:27" ht="78">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31"/>
      <c r="V209" s="331"/>
      <c r="W209" s="331"/>
      <c r="X209" s="331"/>
      <c r="Y209" s="331"/>
      <c r="Z209" s="331"/>
      <c r="AA209" s="331"/>
    </row>
    <row r="210" spans="1:27" ht="65.099999999999994">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32"/>
      <c r="V210" s="332"/>
      <c r="W210" s="332"/>
      <c r="X210" s="332"/>
      <c r="Y210" s="332"/>
      <c r="Z210" s="332"/>
      <c r="AA210" s="332"/>
    </row>
    <row r="211" spans="1:27" ht="14.45">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31"/>
      <c r="V211" s="331"/>
      <c r="W211" s="331"/>
      <c r="X211" s="331"/>
      <c r="Y211" s="331"/>
      <c r="Z211" s="331"/>
      <c r="AA211" s="331"/>
    </row>
    <row r="212" spans="1:27" ht="104.1">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32"/>
      <c r="V212" s="332"/>
      <c r="W212" s="332"/>
      <c r="X212" s="332"/>
      <c r="Y212" s="332"/>
      <c r="Z212" s="332"/>
      <c r="AA212" s="332"/>
    </row>
    <row r="213" spans="1:27" ht="104.1">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31" t="s">
        <v>1863</v>
      </c>
      <c r="V213" s="331" t="s">
        <v>2006</v>
      </c>
      <c r="W213" s="331">
        <v>140</v>
      </c>
      <c r="X213" s="331" t="s">
        <v>1921</v>
      </c>
      <c r="Y213" s="331">
        <v>75</v>
      </c>
      <c r="Z213" s="331" t="s">
        <v>2003</v>
      </c>
      <c r="AA213" s="331"/>
    </row>
    <row r="214" spans="1:27" ht="14.45">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32"/>
      <c r="V214" s="332"/>
      <c r="W214" s="332"/>
      <c r="X214" s="332"/>
      <c r="Y214" s="332"/>
      <c r="Z214" s="332"/>
      <c r="AA214" s="332"/>
    </row>
    <row r="215" spans="1:27" ht="14.45">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31"/>
      <c r="V215" s="331"/>
      <c r="W215" s="331"/>
      <c r="X215" s="331"/>
      <c r="Y215" s="331"/>
      <c r="Z215" s="331"/>
      <c r="AA215" s="331"/>
    </row>
    <row r="216" spans="1:27" ht="51.95">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32"/>
      <c r="V216" s="332"/>
      <c r="W216" s="332"/>
      <c r="X216" s="332"/>
      <c r="Y216" s="332"/>
      <c r="Z216" s="332"/>
      <c r="AA216" s="332"/>
    </row>
    <row r="217" spans="1:27" ht="39">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31"/>
      <c r="V217" s="331"/>
      <c r="W217" s="331"/>
      <c r="X217" s="331"/>
      <c r="Y217" s="331"/>
      <c r="Z217" s="331"/>
      <c r="AA217" s="331"/>
    </row>
    <row r="218" spans="1:27" ht="14.45">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32"/>
      <c r="V218" s="332"/>
      <c r="W218" s="332"/>
      <c r="X218" s="332"/>
      <c r="Y218" s="332"/>
      <c r="Z218" s="332"/>
      <c r="AA218" s="332"/>
    </row>
    <row r="219" spans="1:27" ht="51.95">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31"/>
      <c r="V219" s="331"/>
      <c r="W219" s="331"/>
      <c r="X219" s="331"/>
      <c r="Y219" s="331"/>
      <c r="Z219" s="331"/>
      <c r="AA219" s="331"/>
    </row>
    <row r="220" spans="1:27" ht="51.95">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32"/>
      <c r="V220" s="332"/>
      <c r="W220" s="332"/>
      <c r="X220" s="332"/>
      <c r="Y220" s="332"/>
      <c r="Z220" s="332"/>
      <c r="AA220" s="332"/>
    </row>
    <row r="221" spans="1:27" ht="14.45">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31"/>
      <c r="V221" s="331"/>
      <c r="W221" s="331"/>
      <c r="X221" s="331"/>
      <c r="Y221" s="331"/>
      <c r="Z221" s="331"/>
      <c r="AA221" s="331"/>
    </row>
    <row r="222" spans="1:27" ht="14.45">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32"/>
      <c r="V222" s="332"/>
      <c r="W222" s="332"/>
      <c r="X222" s="332"/>
      <c r="Y222" s="332"/>
      <c r="Z222" s="332"/>
      <c r="AA222" s="332"/>
    </row>
    <row r="223" spans="1:27" ht="14.45">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31"/>
      <c r="V223" s="331"/>
      <c r="W223" s="331"/>
      <c r="X223" s="331"/>
      <c r="Y223" s="331"/>
      <c r="Z223" s="331"/>
      <c r="AA223" s="331"/>
    </row>
    <row r="224" spans="1:27" ht="14.45">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32"/>
      <c r="V224" s="332"/>
      <c r="W224" s="332"/>
      <c r="X224" s="332"/>
      <c r="Y224" s="332"/>
      <c r="Z224" s="332"/>
      <c r="AA224" s="332"/>
    </row>
    <row r="225" spans="1:27" ht="129.94999999999999">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31"/>
      <c r="V225" s="331"/>
      <c r="W225" s="331"/>
      <c r="X225" s="331"/>
      <c r="Y225" s="331"/>
      <c r="Z225" s="331"/>
      <c r="AA225" s="331"/>
    </row>
    <row r="226" spans="1:27" ht="90.95">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32"/>
      <c r="V226" s="332"/>
      <c r="W226" s="332"/>
      <c r="X226" s="332"/>
      <c r="Y226" s="332"/>
      <c r="Z226" s="332"/>
      <c r="AA226" s="332"/>
    </row>
    <row r="227" spans="1:27" ht="29.1">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31"/>
      <c r="V227" s="331"/>
      <c r="W227" s="331"/>
      <c r="X227" s="331"/>
      <c r="Y227" s="331"/>
      <c r="Z227" s="331"/>
      <c r="AA227" s="331"/>
    </row>
    <row r="228" spans="1:27" ht="39">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32"/>
      <c r="V228" s="332"/>
      <c r="W228" s="332"/>
      <c r="X228" s="332"/>
      <c r="Y228" s="332"/>
      <c r="Z228" s="332"/>
      <c r="AA228" s="332"/>
    </row>
    <row r="229" spans="1:27" ht="29.1">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31"/>
      <c r="V229" s="331"/>
      <c r="W229" s="331"/>
      <c r="X229" s="331"/>
      <c r="Y229" s="331"/>
      <c r="Z229" s="331"/>
      <c r="AA229" s="331"/>
    </row>
    <row r="230" spans="1:27" ht="168.9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32"/>
      <c r="V230" s="332"/>
      <c r="W230" s="332"/>
      <c r="X230" s="332"/>
      <c r="Y230" s="332"/>
      <c r="Z230" s="332"/>
      <c r="AA230" s="332"/>
    </row>
    <row r="231" spans="1:27" ht="117">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31"/>
      <c r="V231" s="331"/>
      <c r="W231" s="331"/>
      <c r="X231" s="331"/>
      <c r="Y231" s="331"/>
      <c r="Z231" s="331"/>
      <c r="AA231" s="331"/>
    </row>
    <row r="232" spans="1:27" ht="14.45">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32"/>
      <c r="V232" s="332"/>
      <c r="W232" s="332"/>
      <c r="X232" s="332"/>
      <c r="Y232" s="332"/>
      <c r="Z232" s="332"/>
      <c r="AA232" s="332"/>
    </row>
    <row r="233" spans="1:27" ht="39">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31"/>
      <c r="V233" s="331"/>
      <c r="W233" s="331"/>
      <c r="X233" s="331"/>
      <c r="Y233" s="331"/>
      <c r="Z233" s="331"/>
      <c r="AA233" s="331"/>
    </row>
    <row r="234" spans="1:27" ht="129.94999999999999">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32"/>
      <c r="V234" s="332"/>
      <c r="W234" s="332"/>
      <c r="X234" s="332"/>
      <c r="Y234" s="332"/>
      <c r="Z234" s="332"/>
      <c r="AA234" s="332"/>
    </row>
    <row r="235" spans="1:27" ht="117">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31"/>
      <c r="V235" s="331"/>
      <c r="W235" s="331"/>
      <c r="X235" s="331"/>
      <c r="Y235" s="331"/>
      <c r="Z235" s="331"/>
      <c r="AA235" s="331"/>
    </row>
    <row r="236" spans="1:27" ht="14.45">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32"/>
      <c r="V236" s="332"/>
      <c r="W236" s="332"/>
      <c r="X236" s="332"/>
      <c r="Y236" s="332"/>
      <c r="Z236" s="332"/>
      <c r="AA236" s="332"/>
    </row>
    <row r="237" spans="1:27" ht="129.94999999999999">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31"/>
      <c r="V237" s="331"/>
      <c r="W237" s="331"/>
      <c r="X237" s="331"/>
      <c r="Y237" s="331"/>
      <c r="Z237" s="331"/>
      <c r="AA237" s="331"/>
    </row>
    <row r="238" spans="1:27" ht="78">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32"/>
      <c r="V238" s="332"/>
      <c r="W238" s="332"/>
      <c r="X238" s="332"/>
      <c r="Y238" s="332"/>
      <c r="Z238" s="332"/>
      <c r="AA238" s="332"/>
    </row>
    <row r="239" spans="1:27" ht="14.45">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31"/>
      <c r="V239" s="331"/>
      <c r="W239" s="331"/>
      <c r="X239" s="331"/>
      <c r="Y239" s="331"/>
      <c r="Z239" s="331"/>
      <c r="AA239" s="331"/>
    </row>
    <row r="240" spans="1:27" ht="39">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32"/>
      <c r="V240" s="332"/>
      <c r="W240" s="332"/>
      <c r="X240" s="332"/>
      <c r="Y240" s="332"/>
      <c r="Z240" s="332"/>
      <c r="AA240" s="332"/>
    </row>
    <row r="241" spans="1:27" ht="14.45">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31"/>
      <c r="V241" s="331"/>
      <c r="W241" s="331"/>
      <c r="X241" s="331"/>
      <c r="Y241" s="331"/>
      <c r="Z241" s="331"/>
      <c r="AA241" s="331"/>
    </row>
    <row r="242" spans="1:27" ht="14.45">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32"/>
      <c r="V242" s="332"/>
      <c r="W242" s="332"/>
      <c r="X242" s="332"/>
      <c r="Y242" s="332"/>
      <c r="Z242" s="332"/>
      <c r="AA242" s="332"/>
    </row>
    <row r="243" spans="1:27" ht="39">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31"/>
      <c r="V243" s="331"/>
      <c r="W243" s="331"/>
      <c r="X243" s="331"/>
      <c r="Y243" s="331"/>
      <c r="Z243" s="331"/>
      <c r="AA243" s="331"/>
    </row>
    <row r="244" spans="1:27" ht="39">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32"/>
      <c r="V244" s="332"/>
      <c r="W244" s="332"/>
      <c r="X244" s="332"/>
      <c r="Y244" s="332"/>
      <c r="Z244" s="332"/>
      <c r="AA244" s="332"/>
    </row>
    <row r="245" spans="1:27" ht="14.45">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31"/>
      <c r="V245" s="331"/>
      <c r="W245" s="331"/>
      <c r="X245" s="331"/>
      <c r="Y245" s="331"/>
      <c r="Z245" s="331"/>
      <c r="AA245" s="331"/>
    </row>
    <row r="246" spans="1:27" ht="14.45">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32"/>
      <c r="V246" s="332"/>
      <c r="W246" s="332"/>
      <c r="X246" s="332"/>
      <c r="Y246" s="332"/>
      <c r="Z246" s="332"/>
      <c r="AA246" s="332"/>
    </row>
    <row r="247" spans="1:27" ht="14.45">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31"/>
      <c r="V247" s="331"/>
      <c r="W247" s="331"/>
      <c r="X247" s="331"/>
      <c r="Y247" s="331"/>
      <c r="Z247" s="331"/>
      <c r="AA247" s="331"/>
    </row>
    <row r="248" spans="1:27" ht="117">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32"/>
      <c r="V248" s="332"/>
      <c r="W248" s="332"/>
      <c r="X248" s="332"/>
      <c r="Y248" s="332"/>
      <c r="Z248" s="332"/>
      <c r="AA248" s="332"/>
    </row>
    <row r="249" spans="1:27" ht="78">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31"/>
      <c r="V249" s="331"/>
      <c r="W249" s="331"/>
      <c r="X249" s="331"/>
      <c r="Y249" s="331"/>
      <c r="Z249" s="331"/>
      <c r="AA249" s="331"/>
    </row>
    <row r="250" spans="1:27" ht="29.1">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32"/>
      <c r="V250" s="332"/>
      <c r="W250" s="332"/>
      <c r="X250" s="332"/>
      <c r="Y250" s="332"/>
      <c r="Z250" s="332"/>
      <c r="AA250" s="332"/>
    </row>
    <row r="251" spans="1:27" ht="39">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31"/>
      <c r="V251" s="331"/>
      <c r="W251" s="331"/>
      <c r="X251" s="331"/>
      <c r="Y251" s="331"/>
      <c r="Z251" s="331"/>
      <c r="AA251" s="331"/>
    </row>
    <row r="252" spans="1:27" ht="182.1">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32"/>
      <c r="V252" s="332"/>
      <c r="W252" s="332"/>
      <c r="X252" s="332"/>
      <c r="Y252" s="332"/>
      <c r="Z252" s="332"/>
      <c r="AA252" s="332"/>
    </row>
    <row r="253" spans="1:27" ht="129.94999999999999">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31"/>
      <c r="V253" s="331"/>
      <c r="W253" s="331"/>
      <c r="X253" s="331"/>
      <c r="Y253" s="331"/>
      <c r="Z253" s="331"/>
      <c r="AA253" s="331"/>
    </row>
    <row r="254" spans="1:27" ht="29.1">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32"/>
      <c r="V254" s="332"/>
      <c r="W254" s="332"/>
      <c r="X254" s="332"/>
      <c r="Y254" s="332"/>
      <c r="Z254" s="332"/>
      <c r="AA254" s="332"/>
    </row>
    <row r="255" spans="1:27" ht="51.95">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31"/>
      <c r="V255" s="331"/>
      <c r="W255" s="331"/>
      <c r="X255" s="331"/>
      <c r="Y255" s="331"/>
      <c r="Z255" s="331"/>
      <c r="AA255" s="331"/>
    </row>
    <row r="256" spans="1:27" ht="39">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32"/>
      <c r="V256" s="332"/>
      <c r="W256" s="332"/>
      <c r="X256" s="332"/>
      <c r="Y256" s="332"/>
      <c r="Z256" s="332"/>
      <c r="AA256" s="332"/>
    </row>
    <row r="257" spans="1:27" ht="14.45">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31"/>
      <c r="V257" s="331"/>
      <c r="W257" s="331"/>
      <c r="X257" s="331"/>
      <c r="Y257" s="331"/>
      <c r="Z257" s="331"/>
      <c r="AA257" s="331"/>
    </row>
    <row r="258" spans="1:27" ht="14.45">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32"/>
      <c r="V258" s="332"/>
      <c r="W258" s="332"/>
      <c r="X258" s="332"/>
      <c r="Y258" s="332"/>
      <c r="Z258" s="332"/>
      <c r="AA258" s="332"/>
    </row>
    <row r="259" spans="1:27" ht="14.45">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31"/>
      <c r="V259" s="331"/>
      <c r="W259" s="331"/>
      <c r="X259" s="331"/>
      <c r="Y259" s="331"/>
      <c r="Z259" s="331"/>
      <c r="AA259" s="331"/>
    </row>
    <row r="260" spans="1:27" ht="39">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32"/>
      <c r="V260" s="332"/>
      <c r="W260" s="332"/>
      <c r="X260" s="332"/>
      <c r="Y260" s="332"/>
      <c r="Z260" s="332"/>
      <c r="AA260" s="332"/>
    </row>
    <row r="261" spans="1:27" ht="39">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31"/>
      <c r="V261" s="331"/>
      <c r="W261" s="331"/>
      <c r="X261" s="331"/>
      <c r="Y261" s="331"/>
      <c r="Z261" s="331"/>
      <c r="AA261" s="331"/>
    </row>
    <row r="262" spans="1:27" ht="14.45">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32"/>
      <c r="V262" s="332"/>
      <c r="W262" s="332"/>
      <c r="X262" s="332"/>
      <c r="Y262" s="332"/>
      <c r="Z262" s="332"/>
      <c r="AA262" s="332"/>
    </row>
    <row r="263" spans="1:27" ht="14.45">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31"/>
      <c r="V263" s="331"/>
      <c r="W263" s="331"/>
      <c r="X263" s="331"/>
      <c r="Y263" s="331"/>
      <c r="Z263" s="331"/>
      <c r="AA263" s="331"/>
    </row>
    <row r="264" spans="1:27" ht="39">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32"/>
      <c r="V264" s="332"/>
      <c r="W264" s="332"/>
      <c r="X264" s="332"/>
      <c r="Y264" s="332"/>
      <c r="Z264" s="332"/>
      <c r="AA264" s="332"/>
    </row>
    <row r="265" spans="1:27" ht="26.1">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31"/>
      <c r="V265" s="331"/>
      <c r="W265" s="331"/>
      <c r="X265" s="331"/>
      <c r="Y265" s="331"/>
      <c r="Z265" s="331"/>
      <c r="AA265" s="331"/>
    </row>
    <row r="266" spans="1:27" ht="14.45">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32"/>
      <c r="V266" s="332"/>
      <c r="W266" s="332"/>
      <c r="X266" s="332"/>
      <c r="Y266" s="332"/>
      <c r="Z266" s="332"/>
      <c r="AA266" s="332"/>
    </row>
    <row r="267" spans="1:27" ht="14.45">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31"/>
      <c r="V267" s="331"/>
      <c r="W267" s="331"/>
      <c r="X267" s="331"/>
      <c r="Y267" s="331"/>
      <c r="Z267" s="331"/>
      <c r="AA267" s="331"/>
    </row>
    <row r="268" spans="1:27" ht="14.45">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32"/>
      <c r="V268" s="332"/>
      <c r="W268" s="332"/>
      <c r="X268" s="332"/>
      <c r="Y268" s="332"/>
      <c r="Z268" s="332"/>
      <c r="AA268" s="332"/>
    </row>
    <row r="269" spans="1:27" ht="14.45">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31"/>
      <c r="V269" s="331"/>
      <c r="W269" s="331"/>
      <c r="X269" s="331"/>
      <c r="Y269" s="331"/>
      <c r="Z269" s="331"/>
      <c r="AA269" s="331"/>
    </row>
    <row r="270" spans="1:27" ht="129.94999999999999">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32"/>
      <c r="V270" s="332"/>
      <c r="W270" s="332"/>
      <c r="X270" s="332"/>
      <c r="Y270" s="332"/>
      <c r="Z270" s="332"/>
      <c r="AA270" s="332"/>
    </row>
    <row r="271" spans="1:27" ht="129.94999999999999">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31"/>
      <c r="V271" s="331"/>
      <c r="W271" s="331"/>
      <c r="X271" s="331"/>
      <c r="Y271" s="331"/>
      <c r="Z271" s="331"/>
      <c r="AA271" s="331"/>
    </row>
    <row r="272" spans="1:27" ht="14.45">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32"/>
      <c r="V272" s="332"/>
      <c r="W272" s="332"/>
      <c r="X272" s="332"/>
      <c r="Y272" s="332"/>
      <c r="Z272" s="332"/>
      <c r="AA272" s="332"/>
    </row>
    <row r="273" spans="1:27" ht="129.94999999999999">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31"/>
      <c r="V273" s="331"/>
      <c r="W273" s="331"/>
      <c r="X273" s="331"/>
      <c r="Y273" s="331"/>
      <c r="Z273" s="331"/>
      <c r="AA273" s="331"/>
    </row>
    <row r="274" spans="1:27" ht="65.099999999999994">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32"/>
      <c r="V274" s="332"/>
      <c r="W274" s="332"/>
      <c r="X274" s="332"/>
      <c r="Y274" s="332"/>
      <c r="Z274" s="332"/>
      <c r="AA274" s="332"/>
    </row>
    <row r="275" spans="1:27" ht="14.45">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31"/>
      <c r="V275" s="331"/>
      <c r="W275" s="331"/>
      <c r="X275" s="331"/>
      <c r="Y275" s="331"/>
      <c r="Z275" s="331"/>
      <c r="AA275" s="331"/>
    </row>
    <row r="276" spans="1:27" ht="65.099999999999994">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32"/>
      <c r="V276" s="332"/>
      <c r="W276" s="332"/>
      <c r="X276" s="332"/>
      <c r="Y276" s="332"/>
      <c r="Z276" s="332"/>
      <c r="AA276" s="332"/>
    </row>
    <row r="277" spans="1:27" ht="14.45">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31"/>
      <c r="V277" s="331"/>
      <c r="W277" s="331"/>
      <c r="X277" s="331"/>
      <c r="Y277" s="331"/>
      <c r="Z277" s="331"/>
      <c r="AA277" s="331"/>
    </row>
    <row r="278" spans="1:27" ht="14.45">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32"/>
      <c r="V278" s="332"/>
      <c r="W278" s="332"/>
      <c r="X278" s="332"/>
      <c r="Y278" s="332"/>
      <c r="Z278" s="332"/>
      <c r="AA278" s="332"/>
    </row>
    <row r="279" spans="1:27" ht="51.95">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31"/>
      <c r="V279" s="331"/>
      <c r="W279" s="331"/>
      <c r="X279" s="331"/>
      <c r="Y279" s="331"/>
      <c r="Z279" s="331"/>
      <c r="AA279" s="331"/>
    </row>
    <row r="280" spans="1:27" ht="29.1">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32"/>
      <c r="V280" s="332"/>
      <c r="W280" s="332"/>
      <c r="X280" s="332"/>
      <c r="Y280" s="332"/>
      <c r="Z280" s="332"/>
      <c r="AA280" s="332"/>
    </row>
    <row r="281" spans="1:27" ht="26.1">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31"/>
      <c r="V281" s="331"/>
      <c r="W281" s="331"/>
      <c r="X281" s="331"/>
      <c r="Y281" s="331"/>
      <c r="Z281" s="331"/>
      <c r="AA281" s="331"/>
    </row>
    <row r="282" spans="1:27" ht="14.45">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32"/>
      <c r="V282" s="332"/>
      <c r="W282" s="332"/>
      <c r="X282" s="332"/>
      <c r="Y282" s="332"/>
      <c r="Z282" s="332"/>
      <c r="AA282" s="332"/>
    </row>
    <row r="283" spans="1:27" ht="14.45">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31"/>
      <c r="V283" s="331"/>
      <c r="W283" s="331"/>
      <c r="X283" s="331"/>
      <c r="Y283" s="331"/>
      <c r="Z283" s="331"/>
      <c r="AA283" s="331"/>
    </row>
    <row r="284" spans="1:27" ht="104.1">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32"/>
      <c r="V284" s="332"/>
      <c r="W284" s="332"/>
      <c r="X284" s="332"/>
      <c r="Y284" s="332"/>
      <c r="Z284" s="332"/>
      <c r="AA284" s="332"/>
    </row>
    <row r="285" spans="1:27" ht="90.95">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31"/>
      <c r="V285" s="331"/>
      <c r="W285" s="331"/>
      <c r="X285" s="331"/>
      <c r="Y285" s="331"/>
      <c r="Z285" s="331"/>
      <c r="AA285" s="331"/>
    </row>
    <row r="286" spans="1:27" ht="29.1">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32"/>
      <c r="V286" s="332"/>
      <c r="W286" s="332"/>
      <c r="X286" s="332"/>
      <c r="Y286" s="332"/>
      <c r="Z286" s="332"/>
      <c r="AA286" s="332"/>
    </row>
    <row r="287" spans="1:27" ht="78">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31"/>
      <c r="V287" s="331"/>
      <c r="W287" s="331"/>
      <c r="X287" s="331"/>
      <c r="Y287" s="331"/>
      <c r="Z287" s="331"/>
      <c r="AA287" s="331"/>
    </row>
    <row r="288" spans="1:27" ht="78">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32"/>
      <c r="V288" s="332"/>
      <c r="W288" s="332"/>
      <c r="X288" s="332"/>
      <c r="Y288" s="332"/>
      <c r="Z288" s="332"/>
      <c r="AA288" s="332"/>
    </row>
    <row r="289" spans="1:27" ht="26.1">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31"/>
      <c r="V289" s="331"/>
      <c r="W289" s="331"/>
      <c r="X289" s="331"/>
      <c r="Y289" s="331"/>
      <c r="Z289" s="331"/>
      <c r="AA289" s="331"/>
    </row>
    <row r="290" spans="1:27" ht="14.45">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32"/>
      <c r="V290" s="332"/>
      <c r="W290" s="332"/>
      <c r="X290" s="332"/>
      <c r="Y290" s="332"/>
      <c r="Z290" s="332"/>
      <c r="AA290" s="332"/>
    </row>
    <row r="291" spans="1:27" ht="14.45">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31"/>
      <c r="V291" s="331"/>
      <c r="W291" s="331"/>
      <c r="X291" s="331"/>
      <c r="Y291" s="331"/>
      <c r="Z291" s="331"/>
      <c r="AA291" s="331"/>
    </row>
    <row r="292" spans="1:27" ht="14.45">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32"/>
      <c r="V292" s="332"/>
      <c r="W292" s="332"/>
      <c r="X292" s="332"/>
      <c r="Y292" s="332"/>
      <c r="Z292" s="332"/>
      <c r="AA292" s="332"/>
    </row>
    <row r="293" spans="1:27" ht="39">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31"/>
      <c r="V293" s="331"/>
      <c r="W293" s="331"/>
      <c r="X293" s="331"/>
      <c r="Y293" s="331"/>
      <c r="Z293" s="331"/>
      <c r="AA293" s="331"/>
    </row>
    <row r="294" spans="1:27" ht="39">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32"/>
      <c r="V294" s="332"/>
      <c r="W294" s="332"/>
      <c r="X294" s="332"/>
      <c r="Y294" s="332"/>
      <c r="Z294" s="332"/>
      <c r="AA294" s="332"/>
    </row>
    <row r="295" spans="1:27" ht="14.45">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31"/>
      <c r="V295" s="331"/>
      <c r="W295" s="331"/>
      <c r="X295" s="331"/>
      <c r="Y295" s="331"/>
      <c r="Z295" s="331"/>
      <c r="AA295" s="331"/>
    </row>
    <row r="296" spans="1:27" ht="14.45">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32"/>
      <c r="V296" s="332"/>
      <c r="W296" s="332"/>
      <c r="X296" s="332"/>
      <c r="Y296" s="332"/>
      <c r="Z296" s="332"/>
      <c r="AA296" s="332"/>
    </row>
    <row r="297" spans="1:27" ht="26.1">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31"/>
      <c r="V297" s="331"/>
      <c r="W297" s="331"/>
      <c r="X297" s="331"/>
      <c r="Y297" s="331"/>
      <c r="Z297" s="331"/>
      <c r="AA297" s="331"/>
    </row>
    <row r="298" spans="1:27" ht="26.1">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32"/>
      <c r="V298" s="332"/>
      <c r="W298" s="332"/>
      <c r="X298" s="332"/>
      <c r="Y298" s="332"/>
      <c r="Z298" s="332"/>
      <c r="AA298" s="332"/>
    </row>
    <row r="299" spans="1:27" ht="14.45">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31"/>
      <c r="V299" s="331"/>
      <c r="W299" s="331"/>
      <c r="X299" s="331"/>
      <c r="Y299" s="331"/>
      <c r="Z299" s="331"/>
      <c r="AA299" s="331"/>
    </row>
    <row r="300" spans="1:27" ht="14.45">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32"/>
      <c r="V300" s="332"/>
      <c r="W300" s="332"/>
      <c r="X300" s="332"/>
      <c r="Y300" s="332"/>
      <c r="Z300" s="332"/>
      <c r="AA300" s="332"/>
    </row>
    <row r="301" spans="1:27" ht="39">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31"/>
      <c r="V301" s="331"/>
      <c r="W301" s="331"/>
      <c r="X301" s="331"/>
      <c r="Y301" s="331"/>
      <c r="Z301" s="331"/>
      <c r="AA301" s="331"/>
    </row>
    <row r="302" spans="1:27" ht="39">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32"/>
      <c r="V302" s="332"/>
      <c r="W302" s="332"/>
      <c r="X302" s="332"/>
      <c r="Y302" s="332"/>
      <c r="Z302" s="332"/>
      <c r="AA302" s="332"/>
    </row>
    <row r="303" spans="1:27" ht="14.45">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31"/>
      <c r="V303" s="331"/>
      <c r="W303" s="331"/>
      <c r="X303" s="331"/>
      <c r="Y303" s="331"/>
      <c r="Z303" s="331"/>
      <c r="AA303" s="331"/>
    </row>
    <row r="304" spans="1:27" ht="14.45">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32"/>
      <c r="V304" s="332"/>
      <c r="W304" s="332"/>
      <c r="X304" s="332"/>
      <c r="Y304" s="332"/>
      <c r="Z304" s="332"/>
      <c r="AA304" s="332"/>
    </row>
    <row r="305" spans="1:27" ht="29.1">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31"/>
      <c r="V305" s="331"/>
      <c r="W305" s="331"/>
      <c r="X305" s="331"/>
      <c r="Y305" s="331"/>
      <c r="Z305" s="331"/>
      <c r="AA305" s="331"/>
    </row>
    <row r="306" spans="1:27" ht="14.45">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32"/>
      <c r="V306" s="332"/>
      <c r="W306" s="332"/>
      <c r="X306" s="332"/>
      <c r="Y306" s="332"/>
      <c r="Z306" s="332"/>
      <c r="AA306" s="332"/>
    </row>
    <row r="307" spans="1:27" ht="51.95">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31"/>
      <c r="V307" s="331"/>
      <c r="W307" s="331"/>
      <c r="X307" s="331"/>
      <c r="Y307" s="331"/>
      <c r="Z307" s="331"/>
      <c r="AA307" s="331"/>
    </row>
    <row r="308" spans="1:27" ht="26.1">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32"/>
      <c r="V308" s="332"/>
      <c r="W308" s="332"/>
      <c r="X308" s="332"/>
      <c r="Y308" s="332"/>
      <c r="Z308" s="332"/>
      <c r="AA308" s="332"/>
    </row>
    <row r="309" spans="1:27" ht="26.1">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31"/>
      <c r="V309" s="331"/>
      <c r="W309" s="331"/>
      <c r="X309" s="331"/>
      <c r="Y309" s="331"/>
      <c r="Z309" s="331"/>
      <c r="AA309" s="331"/>
    </row>
    <row r="310" spans="1:27" ht="14.45">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32"/>
      <c r="V310" s="332"/>
      <c r="W310" s="332"/>
      <c r="X310" s="332"/>
      <c r="Y310" s="332"/>
      <c r="Z310" s="332"/>
      <c r="AA310" s="332"/>
    </row>
    <row r="311" spans="1:27" ht="14.45">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31"/>
      <c r="V311" s="331"/>
      <c r="W311" s="331"/>
      <c r="X311" s="331"/>
      <c r="Y311" s="331"/>
      <c r="Z311" s="331"/>
      <c r="AA311" s="331"/>
    </row>
    <row r="312" spans="1:27" ht="104.1">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32"/>
      <c r="V312" s="332"/>
      <c r="W312" s="332"/>
      <c r="X312" s="332"/>
      <c r="Y312" s="332"/>
      <c r="Z312" s="332"/>
      <c r="AA312" s="332"/>
    </row>
    <row r="313" spans="1:27" ht="65.099999999999994">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31"/>
      <c r="V313" s="331"/>
      <c r="W313" s="331"/>
      <c r="X313" s="331"/>
      <c r="Y313" s="331"/>
      <c r="Z313" s="331"/>
      <c r="AA313" s="331"/>
    </row>
    <row r="314" spans="1:27" ht="29.1">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32"/>
      <c r="V314" s="332"/>
      <c r="W314" s="332"/>
      <c r="X314" s="332"/>
      <c r="Y314" s="332"/>
      <c r="Z314" s="332"/>
      <c r="AA314" s="332"/>
    </row>
    <row r="315" spans="1:27" ht="39">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31"/>
      <c r="V315" s="331"/>
      <c r="W315" s="331"/>
      <c r="X315" s="331"/>
      <c r="Y315" s="331"/>
      <c r="Z315" s="331"/>
      <c r="AA315" s="331"/>
    </row>
    <row r="316" spans="1:27" ht="26.1">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32"/>
      <c r="V316" s="332"/>
      <c r="W316" s="332"/>
      <c r="X316" s="332"/>
      <c r="Y316" s="332"/>
      <c r="Z316" s="332"/>
      <c r="AA316" s="332"/>
    </row>
    <row r="317" spans="1:27" ht="14.45">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31"/>
      <c r="V317" s="331"/>
      <c r="W317" s="331"/>
      <c r="X317" s="331"/>
      <c r="Y317" s="331"/>
      <c r="Z317" s="331"/>
      <c r="AA317" s="331"/>
    </row>
    <row r="318" spans="1:27" ht="14.45">
      <c r="A318" s="279"/>
      <c r="B318" s="31"/>
      <c r="C318" s="31"/>
      <c r="D318" s="32"/>
      <c r="E318" s="32"/>
      <c r="F318" s="32"/>
      <c r="G318" s="32" t="s">
        <v>2187</v>
      </c>
      <c r="H318" s="33"/>
      <c r="I318" s="33"/>
      <c r="J318" s="148"/>
      <c r="K318" s="21"/>
      <c r="L318" s="21"/>
      <c r="M318" s="21"/>
      <c r="N318" s="22"/>
      <c r="O318" s="22"/>
      <c r="P318" s="22"/>
      <c r="Q318" s="22"/>
      <c r="R318" s="22"/>
      <c r="S318" s="22"/>
      <c r="T318" s="64"/>
      <c r="U318" s="332"/>
      <c r="V318" s="332"/>
      <c r="W318" s="332"/>
      <c r="X318" s="332"/>
      <c r="Y318" s="332"/>
      <c r="Z318" s="332"/>
      <c r="AA318" s="332"/>
    </row>
    <row r="319" spans="1:27" ht="26.1">
      <c r="A319" s="279"/>
      <c r="B319" s="31" t="s">
        <v>1948</v>
      </c>
      <c r="C319" s="3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21" t="s">
        <v>501</v>
      </c>
      <c r="L319" s="21" t="s">
        <v>469</v>
      </c>
      <c r="M319" s="21" t="s">
        <v>502</v>
      </c>
      <c r="N319" s="22">
        <v>422.4</v>
      </c>
      <c r="O319" s="22">
        <v>12.5</v>
      </c>
      <c r="P319" s="22">
        <v>1.1000000000000001</v>
      </c>
      <c r="Q319" s="22">
        <v>47.8</v>
      </c>
      <c r="R319" s="22">
        <v>21.3</v>
      </c>
      <c r="S319" s="22">
        <v>2.7</v>
      </c>
      <c r="T319" s="64"/>
      <c r="U319" s="331"/>
      <c r="V319" s="331"/>
      <c r="W319" s="331"/>
      <c r="X319" s="331"/>
      <c r="Y319" s="331"/>
      <c r="Z319" s="331"/>
      <c r="AA319" s="331"/>
    </row>
    <row r="320" spans="1:27" ht="14.45">
      <c r="A320" s="279"/>
      <c r="B320" s="31" t="s">
        <v>1948</v>
      </c>
      <c r="C320" s="3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21" t="s">
        <v>304</v>
      </c>
      <c r="L320" s="21" t="s">
        <v>121</v>
      </c>
      <c r="M320" s="21"/>
      <c r="N320" s="22">
        <v>104</v>
      </c>
      <c r="O320" s="22">
        <v>0.2</v>
      </c>
      <c r="P320" s="22">
        <v>0.1</v>
      </c>
      <c r="Q320" s="22">
        <v>22.9</v>
      </c>
      <c r="R320" s="22">
        <v>2.2000000000000002</v>
      </c>
      <c r="S320" s="22">
        <v>0</v>
      </c>
      <c r="T320" s="64"/>
      <c r="U320" s="332"/>
      <c r="V320" s="332"/>
      <c r="W320" s="332"/>
      <c r="X320" s="332"/>
      <c r="Y320" s="332"/>
      <c r="Z320" s="332"/>
      <c r="AA320" s="332"/>
    </row>
    <row r="321" spans="1:27" ht="51.95">
      <c r="A321" s="279"/>
      <c r="B321" s="31" t="s">
        <v>1948</v>
      </c>
      <c r="C321" s="3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21" t="s">
        <v>667</v>
      </c>
      <c r="L321" s="21" t="s">
        <v>133</v>
      </c>
      <c r="M321" s="21"/>
      <c r="N321" s="22">
        <v>139.30000000000001</v>
      </c>
      <c r="O321" s="22">
        <v>15</v>
      </c>
      <c r="P321" s="22">
        <v>1</v>
      </c>
      <c r="Q321" s="22">
        <v>1.4</v>
      </c>
      <c r="R321" s="22"/>
      <c r="S321" s="22">
        <v>0.3</v>
      </c>
      <c r="T321" s="64"/>
      <c r="U321" s="331"/>
      <c r="V321" s="331"/>
      <c r="W321" s="331"/>
      <c r="X321" s="331"/>
      <c r="Y321" s="331"/>
      <c r="Z321" s="331"/>
      <c r="AA321" s="331"/>
    </row>
    <row r="322" spans="1:27" ht="78">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32"/>
      <c r="V322" s="332"/>
      <c r="W322" s="332"/>
      <c r="X322" s="332"/>
      <c r="Y322" s="332"/>
      <c r="Z322" s="332"/>
      <c r="AA322" s="332"/>
    </row>
    <row r="323" spans="1:27" ht="26.1">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31"/>
      <c r="V323" s="331"/>
      <c r="W323" s="331"/>
      <c r="X323" s="331"/>
      <c r="Y323" s="331"/>
      <c r="Z323" s="331"/>
      <c r="AA323" s="331"/>
    </row>
    <row r="324" spans="1:27" ht="14.45">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32"/>
      <c r="V324" s="332"/>
      <c r="W324" s="332"/>
      <c r="X324" s="332"/>
      <c r="Y324" s="332"/>
      <c r="Z324" s="332"/>
      <c r="AA324" s="332"/>
    </row>
    <row r="325" spans="1:27" ht="51.95">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31"/>
      <c r="V325" s="331"/>
      <c r="W325" s="331"/>
      <c r="X325" s="331"/>
      <c r="Y325" s="331"/>
      <c r="Z325" s="331"/>
      <c r="AA325" s="331"/>
    </row>
    <row r="326" spans="1:27" ht="29.1">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32"/>
      <c r="V326" s="332"/>
      <c r="W326" s="332"/>
      <c r="X326" s="332"/>
      <c r="Y326" s="332"/>
      <c r="Z326" s="332"/>
      <c r="AA326" s="332"/>
    </row>
    <row r="327" spans="1:27" ht="14.45">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31"/>
      <c r="V327" s="331"/>
      <c r="W327" s="331"/>
      <c r="X327" s="331"/>
      <c r="Y327" s="331"/>
      <c r="Z327" s="331"/>
      <c r="AA327" s="331"/>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32"/>
      <c r="V328" s="332"/>
      <c r="W328" s="332"/>
      <c r="X328" s="332"/>
      <c r="Y328" s="332"/>
      <c r="Z328" s="332"/>
      <c r="AA328" s="332"/>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31"/>
      <c r="V329" s="331"/>
      <c r="W329" s="331"/>
      <c r="X329" s="331"/>
      <c r="Y329" s="331"/>
      <c r="Z329" s="331"/>
      <c r="AA329" s="331"/>
    </row>
    <row r="330" spans="1:27" ht="39">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32"/>
      <c r="V330" s="332"/>
      <c r="W330" s="332"/>
      <c r="X330" s="332"/>
      <c r="Y330" s="332"/>
      <c r="Z330" s="332"/>
      <c r="AA330" s="332"/>
    </row>
    <row r="331" spans="1:27" ht="14.45">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31"/>
      <c r="V331" s="331"/>
      <c r="W331" s="331"/>
      <c r="X331" s="331"/>
      <c r="Y331" s="331"/>
      <c r="Z331" s="331"/>
      <c r="AA331" s="331"/>
    </row>
    <row r="332" spans="1:27" ht="14.45">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32"/>
      <c r="V332" s="332"/>
      <c r="W332" s="332"/>
      <c r="X332" s="332"/>
      <c r="Y332" s="332"/>
      <c r="Z332" s="332"/>
      <c r="AA332" s="332"/>
    </row>
    <row r="333" spans="1:27" ht="90.95">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31"/>
      <c r="V333" s="331"/>
      <c r="W333" s="331"/>
      <c r="X333" s="331"/>
      <c r="Y333" s="331"/>
      <c r="Z333" s="331"/>
      <c r="AA333" s="331"/>
    </row>
    <row r="334" spans="1:27" ht="78">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32"/>
      <c r="V334" s="332"/>
      <c r="W334" s="332"/>
      <c r="X334" s="332"/>
      <c r="Y334" s="332"/>
      <c r="Z334" s="332"/>
      <c r="AA334" s="332"/>
    </row>
    <row r="335" spans="1:27" ht="29.1">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31"/>
      <c r="V335" s="331"/>
      <c r="W335" s="331"/>
      <c r="X335" s="331"/>
      <c r="Y335" s="331"/>
      <c r="Z335" s="331"/>
      <c r="AA335" s="331"/>
    </row>
    <row r="336" spans="1:27" ht="207.9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32"/>
      <c r="V336" s="332"/>
      <c r="W336" s="332"/>
      <c r="X336" s="332"/>
      <c r="Y336" s="332"/>
      <c r="Z336" s="332"/>
      <c r="AA336" s="332"/>
    </row>
    <row r="337" spans="1:27" ht="78">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31"/>
      <c r="V337" s="331"/>
      <c r="W337" s="331"/>
      <c r="X337" s="331"/>
      <c r="Y337" s="331"/>
      <c r="Z337" s="331"/>
      <c r="AA337" s="331"/>
    </row>
    <row r="338" spans="1:27" ht="14.45">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32"/>
      <c r="V338" s="332"/>
      <c r="W338" s="332"/>
      <c r="X338" s="332"/>
      <c r="Y338" s="332"/>
      <c r="Z338" s="332"/>
      <c r="AA338" s="332"/>
    </row>
    <row r="339" spans="1:27" ht="65.099999999999994">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31"/>
      <c r="V339" s="331"/>
      <c r="W339" s="331"/>
      <c r="X339" s="331"/>
      <c r="Y339" s="331"/>
      <c r="Z339" s="331"/>
      <c r="AA339" s="331"/>
    </row>
    <row r="340" spans="1:27" ht="65.099999999999994">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32"/>
      <c r="V340" s="332"/>
      <c r="W340" s="332"/>
      <c r="X340" s="332"/>
      <c r="Y340" s="332"/>
      <c r="Z340" s="332"/>
      <c r="AA340" s="332"/>
    </row>
    <row r="341" spans="1:27" ht="117">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31"/>
      <c r="V341" s="331"/>
      <c r="W341" s="331"/>
      <c r="X341" s="331"/>
      <c r="Y341" s="331"/>
      <c r="Z341" s="331"/>
      <c r="AA341" s="331"/>
    </row>
    <row r="342" spans="1:27" ht="39">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32"/>
      <c r="V342" s="332"/>
      <c r="W342" s="332"/>
      <c r="X342" s="332"/>
      <c r="Y342" s="332"/>
      <c r="Z342" s="332"/>
      <c r="AA342" s="332"/>
    </row>
    <row r="343" spans="1:27" ht="14.45">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31"/>
      <c r="V343" s="331"/>
      <c r="W343" s="331"/>
      <c r="X343" s="331"/>
      <c r="Y343" s="331"/>
      <c r="Z343" s="331"/>
      <c r="AA343" s="331"/>
    </row>
    <row r="344" spans="1:27" ht="65.099999999999994">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32"/>
      <c r="V344" s="332"/>
      <c r="W344" s="332"/>
      <c r="X344" s="332"/>
      <c r="Y344" s="332"/>
      <c r="Z344" s="332"/>
      <c r="AA344" s="332"/>
    </row>
    <row r="345" spans="1:27" ht="29.1">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31"/>
      <c r="V345" s="331"/>
      <c r="W345" s="331"/>
      <c r="X345" s="331"/>
      <c r="Y345" s="331"/>
      <c r="Z345" s="331"/>
      <c r="AA345" s="331"/>
    </row>
    <row r="346" spans="1:27" ht="14.45">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32"/>
      <c r="V346" s="332"/>
      <c r="W346" s="332"/>
      <c r="X346" s="332"/>
      <c r="Y346" s="332"/>
      <c r="Z346" s="332"/>
      <c r="AA346" s="332"/>
    </row>
    <row r="347" spans="1:27" ht="26.1">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31"/>
      <c r="V347" s="331"/>
      <c r="W347" s="331"/>
      <c r="X347" s="331"/>
      <c r="Y347" s="331"/>
      <c r="Z347" s="331"/>
      <c r="AA347" s="331"/>
    </row>
    <row r="348" spans="1:27" ht="26.1">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32"/>
      <c r="V348" s="332"/>
      <c r="W348" s="332"/>
      <c r="X348" s="332"/>
      <c r="Y348" s="332"/>
      <c r="Z348" s="332"/>
      <c r="AA348" s="332"/>
    </row>
    <row r="349" spans="1:27" ht="14.45">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31"/>
      <c r="V349" s="331"/>
      <c r="W349" s="331"/>
      <c r="X349" s="331"/>
      <c r="Y349" s="331"/>
      <c r="Z349" s="331"/>
      <c r="AA349" s="331"/>
    </row>
    <row r="350" spans="1:27" ht="14.45">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32"/>
      <c r="V350" s="332"/>
      <c r="W350" s="332"/>
      <c r="X350" s="332"/>
      <c r="Y350" s="332"/>
      <c r="Z350" s="332"/>
      <c r="AA350" s="332"/>
    </row>
    <row r="351" spans="1:27" ht="14.45">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31"/>
      <c r="V351" s="331"/>
      <c r="W351" s="331"/>
      <c r="X351" s="331"/>
      <c r="Y351" s="331"/>
      <c r="Z351" s="331"/>
      <c r="AA351" s="331"/>
    </row>
    <row r="352" spans="1:27" ht="117">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32"/>
      <c r="V352" s="332"/>
      <c r="W352" s="332"/>
      <c r="X352" s="332"/>
      <c r="Y352" s="332"/>
      <c r="Z352" s="332"/>
      <c r="AA352" s="332"/>
    </row>
    <row r="353" spans="1:27" ht="104.1">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31"/>
      <c r="V353" s="331"/>
      <c r="W353" s="331"/>
      <c r="X353" s="331"/>
      <c r="Y353" s="331"/>
      <c r="Z353" s="331"/>
      <c r="AA353" s="331"/>
    </row>
    <row r="354" spans="1:27" ht="29.1">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32"/>
      <c r="V354" s="332"/>
      <c r="W354" s="332"/>
      <c r="X354" s="332"/>
      <c r="Y354" s="332"/>
      <c r="Z354" s="332"/>
      <c r="AA354" s="332"/>
    </row>
    <row r="355" spans="1:27" ht="156">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31"/>
      <c r="V355" s="331"/>
      <c r="W355" s="331"/>
      <c r="X355" s="331"/>
      <c r="Y355" s="331"/>
      <c r="Z355" s="331"/>
      <c r="AA355" s="331"/>
    </row>
    <row r="356" spans="1:27" ht="129.94999999999999">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32"/>
      <c r="V356" s="332"/>
      <c r="W356" s="332"/>
      <c r="X356" s="332"/>
      <c r="Y356" s="332"/>
      <c r="Z356" s="332"/>
      <c r="AA356" s="332"/>
    </row>
    <row r="357" spans="1:27" ht="14.45">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31"/>
      <c r="V357" s="331"/>
      <c r="W357" s="331"/>
      <c r="X357" s="331"/>
      <c r="Y357" s="331"/>
      <c r="Z357" s="331"/>
      <c r="AA357" s="331"/>
    </row>
    <row r="358" spans="1:27" ht="14.45">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32"/>
      <c r="V358" s="332"/>
      <c r="W358" s="332"/>
      <c r="X358" s="332"/>
      <c r="Y358" s="332"/>
      <c r="Z358" s="332"/>
      <c r="AA358" s="332"/>
    </row>
    <row r="359" spans="1:27" ht="104.1">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31"/>
      <c r="V359" s="331"/>
      <c r="W359" s="331"/>
      <c r="X359" s="331"/>
      <c r="Y359" s="331"/>
      <c r="Z359" s="331"/>
      <c r="AA359" s="331"/>
    </row>
    <row r="360" spans="1:27" ht="90.95">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32"/>
      <c r="V360" s="332"/>
      <c r="W360" s="332"/>
      <c r="X360" s="332"/>
      <c r="Y360" s="332"/>
      <c r="Z360" s="332"/>
      <c r="AA360" s="332"/>
    </row>
    <row r="361" spans="1:27" ht="14.45">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31"/>
      <c r="V361" s="331"/>
      <c r="W361" s="331"/>
      <c r="X361" s="331"/>
      <c r="Y361" s="331"/>
      <c r="Z361" s="331"/>
      <c r="AA361" s="331"/>
    </row>
    <row r="362" spans="1:27" ht="29.1">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32"/>
      <c r="V362" s="332"/>
      <c r="W362" s="332"/>
      <c r="X362" s="332"/>
      <c r="Y362" s="332"/>
      <c r="Z362" s="332"/>
      <c r="AA362" s="332"/>
    </row>
    <row r="363" spans="1:27" ht="14.45">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31"/>
      <c r="V363" s="331"/>
      <c r="W363" s="331"/>
      <c r="X363" s="331"/>
      <c r="Y363" s="331"/>
      <c r="Z363" s="331"/>
      <c r="AA363" s="331"/>
    </row>
    <row r="364" spans="1:27" ht="51.95">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32"/>
      <c r="V364" s="332"/>
      <c r="W364" s="332"/>
      <c r="X364" s="332"/>
      <c r="Y364" s="332"/>
      <c r="Z364" s="332"/>
      <c r="AA364" s="332"/>
    </row>
    <row r="365" spans="1:27" ht="51.95">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31"/>
      <c r="V365" s="331"/>
      <c r="W365" s="331"/>
      <c r="X365" s="331"/>
      <c r="Y365" s="331"/>
      <c r="Z365" s="331"/>
      <c r="AA365" s="331"/>
    </row>
    <row r="366" spans="1:27" ht="14.45">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32"/>
      <c r="V366" s="332"/>
      <c r="W366" s="332"/>
      <c r="X366" s="332"/>
      <c r="Y366" s="332"/>
      <c r="Z366" s="332"/>
      <c r="AA366" s="332"/>
    </row>
    <row r="367" spans="1:27" ht="14.45">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31"/>
      <c r="V367" s="331"/>
      <c r="W367" s="331"/>
      <c r="X367" s="331"/>
      <c r="Y367" s="331"/>
      <c r="Z367" s="331"/>
      <c r="AA367" s="331"/>
    </row>
    <row r="368" spans="1:27" ht="14.45">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32"/>
      <c r="V368" s="332"/>
      <c r="W368" s="332"/>
      <c r="X368" s="332"/>
      <c r="Y368" s="332"/>
      <c r="Z368" s="332"/>
      <c r="AA368" s="332"/>
    </row>
    <row r="369" spans="1:27" ht="78">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31"/>
      <c r="V369" s="331"/>
      <c r="W369" s="331"/>
      <c r="X369" s="331"/>
      <c r="Y369" s="331"/>
      <c r="Z369" s="331"/>
      <c r="AA369" s="331"/>
    </row>
    <row r="370" spans="1:27" ht="39">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32"/>
      <c r="V370" s="332"/>
      <c r="W370" s="332"/>
      <c r="X370" s="332"/>
      <c r="Y370" s="332"/>
      <c r="Z370" s="332"/>
      <c r="AA370" s="332"/>
    </row>
    <row r="371" spans="1:27" ht="39">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31"/>
      <c r="V371" s="331"/>
      <c r="W371" s="331"/>
      <c r="X371" s="331"/>
      <c r="Y371" s="331"/>
      <c r="Z371" s="331"/>
      <c r="AA371" s="331"/>
    </row>
    <row r="372" spans="1:27" ht="29.1">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32"/>
      <c r="V372" s="332"/>
      <c r="W372" s="332"/>
      <c r="X372" s="332"/>
      <c r="Y372" s="332"/>
      <c r="Z372" s="332"/>
      <c r="AA372" s="332"/>
    </row>
    <row r="373" spans="1:27" ht="65.099999999999994">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31"/>
      <c r="V373" s="331"/>
      <c r="W373" s="331"/>
      <c r="X373" s="331"/>
      <c r="Y373" s="331"/>
      <c r="Z373" s="331"/>
      <c r="AA373" s="331"/>
    </row>
    <row r="374" spans="1:27" ht="65.099999999999994">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32"/>
      <c r="V374" s="332"/>
      <c r="W374" s="332"/>
      <c r="X374" s="332"/>
      <c r="Y374" s="332"/>
      <c r="Z374" s="332"/>
      <c r="AA374" s="332"/>
    </row>
    <row r="375" spans="1:27" ht="221.1">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31"/>
      <c r="V375" s="331"/>
      <c r="W375" s="331"/>
      <c r="X375" s="331"/>
      <c r="Y375" s="331"/>
      <c r="Z375" s="331"/>
      <c r="AA375" s="331"/>
    </row>
    <row r="376" spans="1:27" ht="39">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32"/>
      <c r="V376" s="332"/>
      <c r="W376" s="332"/>
      <c r="X376" s="332"/>
      <c r="Y376" s="332"/>
      <c r="Z376" s="332"/>
      <c r="AA376" s="332"/>
    </row>
    <row r="377" spans="1:27" ht="39">
      <c r="A377" s="279"/>
      <c r="B377" s="31" t="s">
        <v>1856</v>
      </c>
      <c r="C377" s="3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21" t="s">
        <v>325</v>
      </c>
      <c r="L377" s="21" t="s">
        <v>326</v>
      </c>
      <c r="M377" s="21" t="s">
        <v>327</v>
      </c>
      <c r="N377" s="22">
        <v>63</v>
      </c>
      <c r="O377" s="22">
        <v>0.3</v>
      </c>
      <c r="P377" s="22">
        <v>0.1</v>
      </c>
      <c r="Q377" s="22">
        <v>12.5</v>
      </c>
      <c r="R377" s="22">
        <v>1.2</v>
      </c>
      <c r="S377" s="22">
        <v>0.2</v>
      </c>
      <c r="T377" s="65" t="str">
        <f>IF(F377="","",IFERROR(INDEX(Réttabanki!Q:Q,MATCH(F377,Réttabanki!A:A,0)),IFERROR(INDEX(Réttabanki!Q:Q,MATCH(F377,Réttabanki!B:B,0)),"")))</f>
        <v/>
      </c>
      <c r="U377" s="331"/>
      <c r="V377" s="331"/>
      <c r="W377" s="331"/>
      <c r="X377" s="331"/>
      <c r="Y377" s="331"/>
      <c r="Z377" s="331"/>
      <c r="AA377" s="331"/>
    </row>
    <row r="378" spans="1:27" ht="14.45">
      <c r="A378" s="279"/>
      <c r="B378" s="31" t="s">
        <v>1856</v>
      </c>
      <c r="C378" s="3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21" t="s">
        <v>392</v>
      </c>
      <c r="L378" s="21" t="s">
        <v>108</v>
      </c>
      <c r="M378" s="21"/>
      <c r="N378" s="22">
        <v>73.8</v>
      </c>
      <c r="O378" s="22">
        <v>8.1999999999999993</v>
      </c>
      <c r="P378" s="22">
        <v>4.9000000000000004</v>
      </c>
      <c r="Q378" s="22">
        <v>0</v>
      </c>
      <c r="R378" s="22">
        <v>0.1</v>
      </c>
      <c r="S378" s="22">
        <v>0.1</v>
      </c>
      <c r="T378" s="64">
        <f>IF(F378="","",IFERROR(INDEX(Réttabanki!Q:Q,MATCH(F378,Réttabanki!A:A,0)),IFERROR(INDEX(Réttabanki!Q:Q,MATCH(F378,Réttabanki!B:B,0)),"")))</f>
        <v>0</v>
      </c>
      <c r="U378" s="332"/>
      <c r="V378" s="332"/>
      <c r="W378" s="332"/>
      <c r="X378" s="332"/>
      <c r="Y378" s="332"/>
      <c r="Z378" s="332"/>
      <c r="AA378" s="332"/>
    </row>
    <row r="379" spans="1:27" ht="90.95">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31"/>
      <c r="V379" s="331"/>
      <c r="W379" s="331"/>
      <c r="X379" s="331"/>
      <c r="Y379" s="331"/>
      <c r="Z379" s="331"/>
      <c r="AA379" s="331"/>
    </row>
    <row r="380" spans="1:27" ht="51.95">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32"/>
      <c r="V380" s="332"/>
      <c r="W380" s="332"/>
      <c r="X380" s="332"/>
      <c r="Y380" s="332"/>
      <c r="Z380" s="332"/>
      <c r="AA380" s="332"/>
    </row>
    <row r="381" spans="1:27" ht="14.45">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31"/>
      <c r="V381" s="331"/>
      <c r="W381" s="331"/>
      <c r="X381" s="331"/>
      <c r="Y381" s="331"/>
      <c r="Z381" s="331"/>
      <c r="AA381" s="331"/>
    </row>
    <row r="382" spans="1:27" ht="14.45">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32"/>
      <c r="V382" s="332"/>
      <c r="W382" s="332"/>
      <c r="X382" s="332"/>
      <c r="Y382" s="332"/>
      <c r="Z382" s="332"/>
      <c r="AA382" s="332"/>
    </row>
    <row r="383" spans="1:27" ht="14.45">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31"/>
      <c r="V383" s="331"/>
      <c r="W383" s="331"/>
      <c r="X383" s="331"/>
      <c r="Y383" s="331"/>
      <c r="Z383" s="331"/>
      <c r="AA383" s="331"/>
    </row>
    <row r="384" spans="1:27" ht="29.1">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32"/>
      <c r="V384" s="332"/>
      <c r="W384" s="332"/>
      <c r="X384" s="332"/>
      <c r="Y384" s="332"/>
      <c r="Z384" s="332"/>
      <c r="AA384" s="332"/>
    </row>
    <row r="385" spans="1:27" ht="14.45">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31"/>
      <c r="V385" s="331"/>
      <c r="W385" s="331"/>
      <c r="X385" s="331"/>
      <c r="Y385" s="331"/>
      <c r="Z385" s="331"/>
      <c r="AA385" s="331"/>
    </row>
    <row r="386" spans="1:27" ht="90.95">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32"/>
      <c r="V386" s="332"/>
      <c r="W386" s="332"/>
      <c r="X386" s="332"/>
      <c r="Y386" s="332"/>
      <c r="Z386" s="332"/>
      <c r="AA386" s="332"/>
    </row>
    <row r="387" spans="1:27" ht="51.95">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31"/>
      <c r="V387" s="331"/>
      <c r="W387" s="331"/>
      <c r="X387" s="331"/>
      <c r="Y387" s="331"/>
      <c r="Z387" s="331"/>
      <c r="AA387" s="331"/>
    </row>
    <row r="388" spans="1:27" ht="39">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32"/>
      <c r="V388" s="332"/>
      <c r="W388" s="332"/>
      <c r="X388" s="332"/>
      <c r="Y388" s="332"/>
      <c r="Z388" s="332"/>
      <c r="AA388" s="332"/>
    </row>
    <row r="389" spans="1:27" ht="14.45">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31"/>
      <c r="V389" s="331"/>
      <c r="W389" s="331"/>
      <c r="X389" s="331"/>
      <c r="Y389" s="331"/>
      <c r="Z389" s="331"/>
      <c r="AA389" s="331"/>
    </row>
    <row r="390" spans="1:27" ht="14.45">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32"/>
      <c r="V390" s="332"/>
      <c r="W390" s="332"/>
      <c r="X390" s="332"/>
      <c r="Y390" s="332"/>
      <c r="Z390" s="332"/>
      <c r="AA390" s="332"/>
    </row>
    <row r="391" spans="1:27" ht="14.45">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31"/>
      <c r="V391" s="331"/>
      <c r="W391" s="331"/>
      <c r="X391" s="331"/>
      <c r="Y391" s="331"/>
      <c r="Z391" s="331"/>
      <c r="AA391" s="331"/>
    </row>
    <row r="392" spans="1:27" ht="14.45">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32"/>
      <c r="V392" s="332"/>
      <c r="W392" s="332"/>
      <c r="X392" s="332"/>
      <c r="Y392" s="332"/>
      <c r="Z392" s="332"/>
      <c r="AA392" s="332"/>
    </row>
    <row r="393" spans="1:27" ht="14.45">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31"/>
      <c r="V393" s="331"/>
      <c r="W393" s="331"/>
      <c r="X393" s="331"/>
      <c r="Y393" s="331"/>
      <c r="Z393" s="331"/>
      <c r="AA393" s="331"/>
    </row>
    <row r="394" spans="1:27" ht="14.45">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32"/>
      <c r="V394" s="332"/>
      <c r="W394" s="332"/>
      <c r="X394" s="332"/>
      <c r="Y394" s="332"/>
      <c r="Z394" s="332"/>
      <c r="AA394" s="332"/>
    </row>
    <row r="395" spans="1:27" ht="14.45">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31"/>
      <c r="V395" s="331"/>
      <c r="W395" s="331"/>
      <c r="X395" s="331"/>
      <c r="Y395" s="331"/>
      <c r="Z395" s="331"/>
      <c r="AA395" s="331"/>
    </row>
    <row r="396" spans="1:27" ht="14.45">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32"/>
      <c r="V396" s="332"/>
      <c r="W396" s="332"/>
      <c r="X396" s="332"/>
      <c r="Y396" s="332"/>
      <c r="Z396" s="332"/>
      <c r="AA396" s="332"/>
    </row>
    <row r="397" spans="1:27" ht="14.45">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31"/>
      <c r="V397" s="331"/>
      <c r="W397" s="331"/>
      <c r="X397" s="331"/>
      <c r="Y397" s="331"/>
      <c r="Z397" s="331"/>
      <c r="AA397" s="331"/>
    </row>
    <row r="398" spans="1:27" ht="14.45">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32"/>
      <c r="V398" s="332"/>
      <c r="W398" s="332"/>
      <c r="X398" s="332"/>
      <c r="Y398" s="332"/>
      <c r="Z398" s="332"/>
      <c r="AA398" s="332"/>
    </row>
    <row r="399" spans="1:27" ht="14.45">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31"/>
      <c r="V399" s="331"/>
      <c r="W399" s="331"/>
      <c r="X399" s="331"/>
      <c r="Y399" s="331"/>
      <c r="Z399" s="331"/>
      <c r="AA399" s="331"/>
    </row>
    <row r="400" spans="1:27" ht="14.45">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32"/>
      <c r="V400" s="332"/>
      <c r="W400" s="332"/>
      <c r="X400" s="332"/>
      <c r="Y400" s="332"/>
      <c r="Z400" s="332"/>
      <c r="AA400" s="332"/>
    </row>
    <row r="401" spans="1:27" ht="14.45">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31"/>
      <c r="V401" s="331"/>
      <c r="W401" s="331"/>
      <c r="X401" s="331"/>
      <c r="Y401" s="331"/>
      <c r="Z401" s="331"/>
      <c r="AA401" s="331"/>
    </row>
    <row r="402" spans="1:27" ht="14.45">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32"/>
      <c r="V402" s="332"/>
      <c r="W402" s="332"/>
      <c r="X402" s="332"/>
      <c r="Y402" s="332"/>
      <c r="Z402" s="332"/>
      <c r="AA402" s="332"/>
    </row>
    <row r="403" spans="1:27" ht="14.45">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31"/>
      <c r="V403" s="331"/>
      <c r="W403" s="331"/>
      <c r="X403" s="331"/>
      <c r="Y403" s="331"/>
      <c r="Z403" s="331"/>
      <c r="AA403" s="331"/>
    </row>
    <row r="404" spans="1:27" ht="14.45">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32"/>
      <c r="V404" s="332"/>
      <c r="W404" s="332"/>
      <c r="X404" s="332"/>
      <c r="Y404" s="332"/>
      <c r="Z404" s="332"/>
      <c r="AA404" s="332"/>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31"/>
      <c r="V405" s="331"/>
      <c r="W405" s="331"/>
      <c r="X405" s="331"/>
      <c r="Y405" s="331"/>
      <c r="Z405" s="331"/>
      <c r="AA405" s="331"/>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32"/>
      <c r="V406" s="332"/>
      <c r="W406" s="332"/>
      <c r="X406" s="332"/>
      <c r="Y406" s="332"/>
      <c r="Z406" s="332"/>
      <c r="AA406" s="332"/>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31"/>
      <c r="V407" s="331"/>
      <c r="W407" s="331"/>
      <c r="X407" s="331"/>
      <c r="Y407" s="331"/>
      <c r="Z407" s="331"/>
      <c r="AA407" s="331"/>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32"/>
      <c r="V408" s="332"/>
      <c r="W408" s="332"/>
      <c r="X408" s="332"/>
      <c r="Y408" s="332"/>
      <c r="Z408" s="332"/>
      <c r="AA408" s="332"/>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31"/>
      <c r="V409" s="331"/>
      <c r="W409" s="331"/>
      <c r="X409" s="331"/>
      <c r="Y409" s="331"/>
      <c r="Z409" s="331"/>
      <c r="AA409" s="331"/>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32"/>
      <c r="V410" s="332"/>
      <c r="W410" s="332"/>
      <c r="X410" s="332"/>
      <c r="Y410" s="332"/>
      <c r="Z410" s="332"/>
      <c r="AA410" s="332"/>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31"/>
      <c r="V411" s="331"/>
      <c r="W411" s="331"/>
      <c r="X411" s="331"/>
      <c r="Y411" s="331"/>
      <c r="Z411" s="331"/>
      <c r="AA411" s="331"/>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32"/>
      <c r="V412" s="332"/>
      <c r="W412" s="332"/>
      <c r="X412" s="332"/>
      <c r="Y412" s="332"/>
      <c r="Z412" s="332"/>
      <c r="AA412" s="332"/>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31"/>
      <c r="V413" s="331"/>
      <c r="W413" s="331"/>
      <c r="X413" s="331"/>
      <c r="Y413" s="331"/>
      <c r="Z413" s="331"/>
      <c r="AA413" s="331"/>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32"/>
      <c r="V414" s="332"/>
      <c r="W414" s="332"/>
      <c r="X414" s="332"/>
      <c r="Y414" s="332"/>
      <c r="Z414" s="332"/>
      <c r="AA414" s="332"/>
    </row>
    <row r="415" spans="1:27" ht="14.45">
      <c r="A415" s="281"/>
    </row>
    <row r="416" spans="1:27" ht="14.45">
      <c r="A416" s="281"/>
    </row>
    <row r="417" spans="1:1" ht="14.45">
      <c r="A417" s="281"/>
    </row>
    <row r="418" spans="1:1" ht="14.45">
      <c r="A418" s="281"/>
    </row>
    <row r="419" spans="1:1" ht="14.45">
      <c r="A419" s="281"/>
    </row>
    <row r="420" spans="1:1" ht="14.45">
      <c r="A420" s="281"/>
    </row>
    <row r="421" spans="1:1" ht="14.45">
      <c r="A421" s="281"/>
    </row>
    <row r="422" spans="1:1" ht="14.45">
      <c r="A422" s="281"/>
    </row>
    <row r="423" spans="1:1" ht="14.45">
      <c r="A423" s="281"/>
    </row>
    <row r="424" spans="1:1" ht="14.45">
      <c r="A424" s="281"/>
    </row>
    <row r="425" spans="1:1" ht="14.45">
      <c r="A425" s="281"/>
    </row>
    <row r="426" spans="1:1" ht="14.45">
      <c r="A426" s="281"/>
    </row>
    <row r="427" spans="1:1" ht="14.45">
      <c r="A427" s="281"/>
    </row>
    <row r="428" spans="1:1" ht="14.45">
      <c r="A428" s="281"/>
    </row>
    <row r="429" spans="1:1" ht="14.45">
      <c r="A429" s="281"/>
    </row>
    <row r="430" spans="1:1" ht="14.45">
      <c r="A430" s="281"/>
    </row>
    <row r="431" spans="1:1" ht="14.45">
      <c r="A431" s="281"/>
    </row>
    <row r="432" spans="1:1"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row r="716" spans="1:1" ht="14.45"/>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bottomRight" activeCell="D341" sqref="D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2223</v>
      </c>
      <c r="B3" s="59" t="s">
        <v>2224</v>
      </c>
      <c r="C3" s="59" t="s">
        <v>2225</v>
      </c>
      <c r="D3" s="59" t="s">
        <v>2226</v>
      </c>
      <c r="E3" s="59" t="s">
        <v>2227</v>
      </c>
      <c r="F3" s="59" t="s">
        <v>2228</v>
      </c>
      <c r="G3" s="59" t="s">
        <v>1452</v>
      </c>
    </row>
    <row r="4" spans="1:7" ht="17.100000000000001">
      <c r="A4" s="75" t="s">
        <v>2229</v>
      </c>
      <c r="B4" s="75"/>
      <c r="C4" s="75"/>
      <c r="D4" s="75"/>
      <c r="E4" s="76"/>
      <c r="F4" s="75"/>
      <c r="G4" s="75"/>
    </row>
    <row r="5" spans="1:7">
      <c r="A5" s="56" t="s">
        <v>2230</v>
      </c>
      <c r="B5" s="56" t="s">
        <v>2231</v>
      </c>
      <c r="C5" s="56" t="s">
        <v>1562</v>
      </c>
      <c r="D5" s="56" t="s">
        <v>2232</v>
      </c>
      <c r="E5" s="74" t="s">
        <v>108</v>
      </c>
      <c r="F5" s="56" t="s">
        <v>1871</v>
      </c>
      <c r="G5" s="56" t="s">
        <v>2233</v>
      </c>
    </row>
    <row r="6" spans="1:7">
      <c r="A6" s="56" t="s">
        <v>2230</v>
      </c>
      <c r="B6" s="56" t="s">
        <v>2231</v>
      </c>
      <c r="C6" s="56" t="s">
        <v>1562</v>
      </c>
      <c r="D6" s="56" t="s">
        <v>2234</v>
      </c>
      <c r="E6" s="74" t="s">
        <v>108</v>
      </c>
      <c r="F6" s="56" t="s">
        <v>1899</v>
      </c>
      <c r="G6" s="56" t="s">
        <v>2233</v>
      </c>
    </row>
    <row r="7" spans="1:7">
      <c r="A7" s="56" t="s">
        <v>2235</v>
      </c>
      <c r="B7" s="56" t="s">
        <v>2236</v>
      </c>
      <c r="C7" s="56" t="s">
        <v>1212</v>
      </c>
      <c r="D7" s="56" t="s">
        <v>2234</v>
      </c>
      <c r="E7" s="74" t="s">
        <v>1212</v>
      </c>
      <c r="F7" s="56" t="s">
        <v>1899</v>
      </c>
      <c r="G7" s="56" t="s">
        <v>2237</v>
      </c>
    </row>
    <row r="8" spans="1:7">
      <c r="A8" s="56" t="s">
        <v>2238</v>
      </c>
      <c r="B8" s="56"/>
      <c r="C8" s="56" t="s">
        <v>2239</v>
      </c>
      <c r="D8" s="56" t="s">
        <v>2232</v>
      </c>
      <c r="E8" s="74" t="s">
        <v>108</v>
      </c>
      <c r="F8" s="56" t="s">
        <v>1873</v>
      </c>
      <c r="G8" s="56" t="s">
        <v>2237</v>
      </c>
    </row>
    <row r="9" spans="1:7">
      <c r="A9" s="56" t="s">
        <v>2238</v>
      </c>
      <c r="B9" s="56"/>
      <c r="C9" s="56" t="s">
        <v>2239</v>
      </c>
      <c r="D9" s="56" t="s">
        <v>2234</v>
      </c>
      <c r="E9" s="74" t="s">
        <v>2239</v>
      </c>
      <c r="F9" s="56" t="s">
        <v>1899</v>
      </c>
      <c r="G9" s="56" t="s">
        <v>2237</v>
      </c>
    </row>
    <row r="10" spans="1:7">
      <c r="A10" s="56" t="s">
        <v>2240</v>
      </c>
      <c r="B10" s="56" t="s">
        <v>2241</v>
      </c>
      <c r="C10" s="56" t="s">
        <v>108</v>
      </c>
      <c r="D10" s="56" t="s">
        <v>2232</v>
      </c>
      <c r="E10" s="74" t="s">
        <v>108</v>
      </c>
      <c r="F10" s="56" t="s">
        <v>1871</v>
      </c>
      <c r="G10" s="56" t="s">
        <v>2237</v>
      </c>
    </row>
    <row r="11" spans="1:7">
      <c r="A11" s="56" t="s">
        <v>2240</v>
      </c>
      <c r="B11" s="56" t="s">
        <v>2241</v>
      </c>
      <c r="C11" s="56" t="s">
        <v>108</v>
      </c>
      <c r="D11" s="56" t="s">
        <v>2234</v>
      </c>
      <c r="E11" s="74" t="s">
        <v>108</v>
      </c>
      <c r="F11" s="56" t="s">
        <v>1899</v>
      </c>
      <c r="G11" s="56" t="s">
        <v>2237</v>
      </c>
    </row>
    <row r="12" spans="1:7">
      <c r="A12" s="56" t="s">
        <v>2242</v>
      </c>
      <c r="B12" s="56" t="s">
        <v>2243</v>
      </c>
      <c r="C12" s="56" t="s">
        <v>108</v>
      </c>
      <c r="D12" s="56" t="s">
        <v>2232</v>
      </c>
      <c r="E12" s="74" t="s">
        <v>108</v>
      </c>
      <c r="F12" s="56" t="s">
        <v>1871</v>
      </c>
      <c r="G12" s="56" t="s">
        <v>2244</v>
      </c>
    </row>
    <row r="13" spans="1:7">
      <c r="A13" s="56" t="s">
        <v>2242</v>
      </c>
      <c r="B13" s="56" t="s">
        <v>2243</v>
      </c>
      <c r="C13" s="56" t="s">
        <v>108</v>
      </c>
      <c r="D13" s="56" t="s">
        <v>2234</v>
      </c>
      <c r="E13" s="74" t="s">
        <v>108</v>
      </c>
      <c r="F13" s="56" t="s">
        <v>1899</v>
      </c>
      <c r="G13" s="56" t="s">
        <v>2244</v>
      </c>
    </row>
    <row r="14" spans="1:7">
      <c r="A14" s="56" t="s">
        <v>2245</v>
      </c>
      <c r="B14" s="56"/>
      <c r="C14" s="56" t="s">
        <v>108</v>
      </c>
      <c r="D14" s="56" t="s">
        <v>2232</v>
      </c>
      <c r="E14" s="74" t="s">
        <v>108</v>
      </c>
      <c r="F14" s="56" t="s">
        <v>1871</v>
      </c>
      <c r="G14" s="56" t="s">
        <v>2237</v>
      </c>
    </row>
    <row r="15" spans="1:7">
      <c r="A15" s="56" t="s">
        <v>2245</v>
      </c>
      <c r="B15" s="56"/>
      <c r="C15" s="56" t="s">
        <v>108</v>
      </c>
      <c r="D15" s="56" t="s">
        <v>2234</v>
      </c>
      <c r="E15" s="74" t="s">
        <v>108</v>
      </c>
      <c r="F15" s="56" t="s">
        <v>1899</v>
      </c>
      <c r="G15" s="56" t="s">
        <v>2237</v>
      </c>
    </row>
    <row r="16" spans="1:7" ht="17.100000000000001">
      <c r="A16" s="75" t="s">
        <v>2246</v>
      </c>
      <c r="B16" s="75"/>
      <c r="C16" s="75"/>
      <c r="D16" s="75"/>
      <c r="E16" s="76"/>
      <c r="F16" s="75"/>
      <c r="G16" s="75"/>
    </row>
    <row r="17" spans="1:7">
      <c r="A17" s="56" t="s">
        <v>2247</v>
      </c>
      <c r="B17" s="56" t="s">
        <v>2248</v>
      </c>
      <c r="C17" s="56" t="s">
        <v>108</v>
      </c>
      <c r="D17" s="56" t="s">
        <v>2232</v>
      </c>
      <c r="E17" s="74" t="s">
        <v>108</v>
      </c>
      <c r="F17" s="56" t="s">
        <v>1871</v>
      </c>
      <c r="G17" s="56" t="s">
        <v>2237</v>
      </c>
    </row>
    <row r="18" spans="1:7">
      <c r="A18" s="56" t="s">
        <v>2247</v>
      </c>
      <c r="B18" s="56" t="s">
        <v>2248</v>
      </c>
      <c r="C18" s="56" t="s">
        <v>108</v>
      </c>
      <c r="D18" s="56" t="s">
        <v>2234</v>
      </c>
      <c r="E18" s="74" t="s">
        <v>108</v>
      </c>
      <c r="F18" s="56" t="s">
        <v>1899</v>
      </c>
      <c r="G18" s="56" t="s">
        <v>2237</v>
      </c>
    </row>
    <row r="19" spans="1:7">
      <c r="A19" s="56" t="s">
        <v>2249</v>
      </c>
      <c r="B19" s="56" t="s">
        <v>2250</v>
      </c>
      <c r="C19" s="56" t="s">
        <v>108</v>
      </c>
      <c r="D19" s="56" t="s">
        <v>2232</v>
      </c>
      <c r="E19" s="74" t="s">
        <v>108</v>
      </c>
      <c r="F19" s="56" t="s">
        <v>1871</v>
      </c>
      <c r="G19" s="56" t="s">
        <v>2251</v>
      </c>
    </row>
    <row r="20" spans="1:7">
      <c r="A20" s="56" t="s">
        <v>2249</v>
      </c>
      <c r="B20" s="56" t="s">
        <v>2250</v>
      </c>
      <c r="C20" s="56" t="s">
        <v>108</v>
      </c>
      <c r="D20" s="56" t="s">
        <v>2234</v>
      </c>
      <c r="E20" s="74" t="s">
        <v>108</v>
      </c>
      <c r="F20" s="56" t="s">
        <v>1899</v>
      </c>
      <c r="G20" s="56" t="s">
        <v>2251</v>
      </c>
    </row>
    <row r="21" spans="1:7">
      <c r="A21" s="56" t="s">
        <v>2252</v>
      </c>
      <c r="B21" s="56" t="s">
        <v>2250</v>
      </c>
      <c r="C21" s="56" t="s">
        <v>108</v>
      </c>
      <c r="D21" s="56" t="s">
        <v>2232</v>
      </c>
      <c r="E21" s="74" t="s">
        <v>108</v>
      </c>
      <c r="F21" s="56" t="s">
        <v>1871</v>
      </c>
      <c r="G21" s="56" t="s">
        <v>2237</v>
      </c>
    </row>
    <row r="22" spans="1:7">
      <c r="A22" s="56" t="s">
        <v>2252</v>
      </c>
      <c r="B22" s="56" t="s">
        <v>2250</v>
      </c>
      <c r="C22" s="56" t="s">
        <v>108</v>
      </c>
      <c r="D22" s="56" t="s">
        <v>2234</v>
      </c>
      <c r="E22" s="74" t="s">
        <v>108</v>
      </c>
      <c r="F22" s="56" t="s">
        <v>1899</v>
      </c>
      <c r="G22" s="56" t="s">
        <v>2237</v>
      </c>
    </row>
    <row r="23" spans="1:7">
      <c r="A23" s="56" t="s">
        <v>2253</v>
      </c>
      <c r="B23" s="56" t="s">
        <v>2236</v>
      </c>
      <c r="C23" s="56" t="s">
        <v>2254</v>
      </c>
      <c r="D23" s="56" t="s">
        <v>2232</v>
      </c>
      <c r="E23" s="74" t="s">
        <v>2255</v>
      </c>
      <c r="F23" s="56" t="s">
        <v>1876</v>
      </c>
      <c r="G23" s="56" t="s">
        <v>2237</v>
      </c>
    </row>
    <row r="24" spans="1:7">
      <c r="A24" s="56" t="s">
        <v>2253</v>
      </c>
      <c r="B24" s="56" t="s">
        <v>2236</v>
      </c>
      <c r="C24" s="56" t="s">
        <v>2254</v>
      </c>
      <c r="D24" s="56" t="s">
        <v>2234</v>
      </c>
      <c r="E24" s="74" t="s">
        <v>2255</v>
      </c>
      <c r="F24" s="56" t="s">
        <v>1899</v>
      </c>
      <c r="G24" s="56" t="s">
        <v>2237</v>
      </c>
    </row>
    <row r="25" spans="1:7">
      <c r="A25" s="56" t="s">
        <v>2256</v>
      </c>
      <c r="B25" s="56" t="s">
        <v>2257</v>
      </c>
      <c r="C25" s="56" t="s">
        <v>108</v>
      </c>
      <c r="D25" s="56" t="s">
        <v>2232</v>
      </c>
      <c r="E25" s="74" t="s">
        <v>108</v>
      </c>
      <c r="F25" s="56" t="s">
        <v>1871</v>
      </c>
      <c r="G25" s="56" t="s">
        <v>2258</v>
      </c>
    </row>
    <row r="26" spans="1:7">
      <c r="A26" s="56" t="s">
        <v>2256</v>
      </c>
      <c r="B26" s="56" t="s">
        <v>2257</v>
      </c>
      <c r="C26" s="56" t="s">
        <v>108</v>
      </c>
      <c r="D26" s="56" t="s">
        <v>2234</v>
      </c>
      <c r="E26" s="74" t="s">
        <v>108</v>
      </c>
      <c r="F26" s="56" t="s">
        <v>1899</v>
      </c>
      <c r="G26" s="56" t="s">
        <v>2258</v>
      </c>
    </row>
    <row r="27" spans="1:7" ht="17.100000000000001">
      <c r="A27" s="75" t="s">
        <v>2259</v>
      </c>
      <c r="B27" s="75"/>
      <c r="C27" s="75"/>
      <c r="D27" s="75"/>
      <c r="E27" s="76"/>
      <c r="F27" s="75"/>
      <c r="G27" s="75"/>
    </row>
    <row r="28" spans="1:7">
      <c r="A28" s="56" t="s">
        <v>2260</v>
      </c>
      <c r="B28" s="56" t="s">
        <v>2261</v>
      </c>
      <c r="C28" s="56" t="s">
        <v>108</v>
      </c>
      <c r="D28" s="56" t="s">
        <v>2232</v>
      </c>
      <c r="E28" s="74" t="s">
        <v>108</v>
      </c>
      <c r="F28" s="56" t="s">
        <v>1871</v>
      </c>
      <c r="G28" s="56" t="s">
        <v>2237</v>
      </c>
    </row>
    <row r="29" spans="1:7">
      <c r="A29" s="56" t="s">
        <v>2260</v>
      </c>
      <c r="B29" s="56" t="s">
        <v>2261</v>
      </c>
      <c r="C29" s="56" t="s">
        <v>108</v>
      </c>
      <c r="D29" s="56" t="s">
        <v>2234</v>
      </c>
      <c r="E29" s="74" t="s">
        <v>108</v>
      </c>
      <c r="F29" s="56" t="s">
        <v>1899</v>
      </c>
      <c r="G29" s="56" t="s">
        <v>2237</v>
      </c>
    </row>
    <row r="30" spans="1:7">
      <c r="A30" s="56" t="s">
        <v>2262</v>
      </c>
      <c r="B30" s="56" t="s">
        <v>2261</v>
      </c>
      <c r="C30" s="56" t="s">
        <v>2263</v>
      </c>
      <c r="D30" s="56" t="s">
        <v>2232</v>
      </c>
      <c r="E30" s="74" t="s">
        <v>108</v>
      </c>
      <c r="F30" s="56" t="s">
        <v>1873</v>
      </c>
      <c r="G30" s="56" t="s">
        <v>2237</v>
      </c>
    </row>
    <row r="31" spans="1:7">
      <c r="A31" s="56" t="s">
        <v>2262</v>
      </c>
      <c r="B31" s="56" t="s">
        <v>2261</v>
      </c>
      <c r="C31" s="56" t="s">
        <v>2263</v>
      </c>
      <c r="D31" s="56" t="s">
        <v>2234</v>
      </c>
      <c r="E31" s="74" t="s">
        <v>108</v>
      </c>
      <c r="F31" s="56" t="s">
        <v>1899</v>
      </c>
      <c r="G31" s="56" t="s">
        <v>2237</v>
      </c>
    </row>
    <row r="32" spans="1:7">
      <c r="A32" s="56" t="s">
        <v>2264</v>
      </c>
      <c r="B32" s="56" t="s">
        <v>2261</v>
      </c>
      <c r="C32" s="56" t="s">
        <v>2265</v>
      </c>
      <c r="D32" s="56" t="s">
        <v>2232</v>
      </c>
      <c r="E32" s="74" t="s">
        <v>108</v>
      </c>
      <c r="F32" s="56" t="s">
        <v>1871</v>
      </c>
      <c r="G32" s="56" t="s">
        <v>2266</v>
      </c>
    </row>
    <row r="33" spans="1:7">
      <c r="A33" s="56" t="s">
        <v>2264</v>
      </c>
      <c r="B33" s="56" t="s">
        <v>2261</v>
      </c>
      <c r="C33" s="56" t="s">
        <v>2265</v>
      </c>
      <c r="D33" s="56" t="s">
        <v>2234</v>
      </c>
      <c r="E33" s="74" t="s">
        <v>108</v>
      </c>
      <c r="F33" s="56" t="s">
        <v>1899</v>
      </c>
      <c r="G33" s="56" t="s">
        <v>2266</v>
      </c>
    </row>
    <row r="34" spans="1:7">
      <c r="A34" s="56" t="s">
        <v>2267</v>
      </c>
      <c r="B34" s="56" t="s">
        <v>2261</v>
      </c>
      <c r="C34" s="56" t="s">
        <v>108</v>
      </c>
      <c r="D34" s="56" t="s">
        <v>2232</v>
      </c>
      <c r="E34" s="74" t="s">
        <v>108</v>
      </c>
      <c r="F34" s="56" t="s">
        <v>1871</v>
      </c>
      <c r="G34" s="56" t="s">
        <v>2237</v>
      </c>
    </row>
    <row r="35" spans="1:7">
      <c r="A35" s="56" t="s">
        <v>2267</v>
      </c>
      <c r="B35" s="56" t="s">
        <v>2261</v>
      </c>
      <c r="C35" s="56" t="s">
        <v>108</v>
      </c>
      <c r="D35" s="56" t="s">
        <v>2234</v>
      </c>
      <c r="E35" s="74" t="s">
        <v>108</v>
      </c>
      <c r="F35" s="56" t="s">
        <v>1899</v>
      </c>
      <c r="G35" s="56" t="s">
        <v>2237</v>
      </c>
    </row>
    <row r="36" spans="1:7" ht="17.100000000000001">
      <c r="A36" s="75" t="s">
        <v>2268</v>
      </c>
      <c r="B36" s="75"/>
      <c r="C36" s="75"/>
      <c r="D36" s="75"/>
      <c r="E36" s="76"/>
      <c r="F36" s="75"/>
      <c r="G36" s="75"/>
    </row>
    <row r="37" spans="1:7">
      <c r="A37" s="56" t="s">
        <v>2269</v>
      </c>
      <c r="B37" s="56" t="s">
        <v>2270</v>
      </c>
      <c r="C37" s="56" t="s">
        <v>2271</v>
      </c>
      <c r="D37" s="56" t="s">
        <v>2232</v>
      </c>
      <c r="E37" s="74" t="s">
        <v>108</v>
      </c>
      <c r="F37" s="56" t="s">
        <v>1871</v>
      </c>
      <c r="G37" s="56" t="s">
        <v>2237</v>
      </c>
    </row>
    <row r="38" spans="1:7">
      <c r="A38" s="56" t="s">
        <v>2269</v>
      </c>
      <c r="B38" s="56" t="s">
        <v>2270</v>
      </c>
      <c r="C38" s="56" t="s">
        <v>2271</v>
      </c>
      <c r="D38" s="56" t="s">
        <v>2234</v>
      </c>
      <c r="E38" s="74" t="s">
        <v>108</v>
      </c>
      <c r="F38" s="56" t="s">
        <v>1899</v>
      </c>
      <c r="G38" s="56" t="s">
        <v>2237</v>
      </c>
    </row>
    <row r="39" spans="1:7">
      <c r="A39" s="56" t="s">
        <v>2272</v>
      </c>
      <c r="B39" s="56" t="s">
        <v>2273</v>
      </c>
      <c r="C39" s="56" t="s">
        <v>108</v>
      </c>
      <c r="D39" s="56" t="s">
        <v>2232</v>
      </c>
      <c r="E39" s="74" t="s">
        <v>108</v>
      </c>
      <c r="F39" s="56" t="s">
        <v>1871</v>
      </c>
      <c r="G39" s="56" t="s">
        <v>2237</v>
      </c>
    </row>
    <row r="40" spans="1:7">
      <c r="A40" s="56" t="s">
        <v>2272</v>
      </c>
      <c r="B40" s="56" t="s">
        <v>2273</v>
      </c>
      <c r="C40" s="56" t="s">
        <v>108</v>
      </c>
      <c r="D40" s="56" t="s">
        <v>2234</v>
      </c>
      <c r="E40" s="74" t="s">
        <v>108</v>
      </c>
      <c r="F40" s="56" t="s">
        <v>1899</v>
      </c>
      <c r="G40" s="56" t="s">
        <v>2237</v>
      </c>
    </row>
    <row r="41" spans="1:7">
      <c r="A41" s="56" t="s">
        <v>2274</v>
      </c>
      <c r="B41" s="56" t="s">
        <v>2270</v>
      </c>
      <c r="C41" s="56" t="s">
        <v>2275</v>
      </c>
      <c r="D41" s="56" t="s">
        <v>2232</v>
      </c>
      <c r="E41" s="74" t="s">
        <v>108</v>
      </c>
      <c r="F41" s="56" t="s">
        <v>1871</v>
      </c>
      <c r="G41" s="56" t="s">
        <v>2237</v>
      </c>
    </row>
    <row r="42" spans="1:7">
      <c r="A42" s="56" t="s">
        <v>2274</v>
      </c>
      <c r="B42" s="56" t="s">
        <v>2270</v>
      </c>
      <c r="C42" s="56" t="s">
        <v>2275</v>
      </c>
      <c r="D42" s="56" t="s">
        <v>2234</v>
      </c>
      <c r="E42" s="74" t="s">
        <v>108</v>
      </c>
      <c r="F42" s="56" t="s">
        <v>1899</v>
      </c>
      <c r="G42" s="56" t="s">
        <v>2237</v>
      </c>
    </row>
    <row r="43" spans="1:7">
      <c r="A43" s="56" t="s">
        <v>2276</v>
      </c>
      <c r="B43" s="56" t="s">
        <v>2273</v>
      </c>
      <c r="C43" s="56" t="s">
        <v>2277</v>
      </c>
      <c r="D43" s="56" t="s">
        <v>2232</v>
      </c>
      <c r="E43" s="74" t="s">
        <v>108</v>
      </c>
      <c r="F43" s="56" t="s">
        <v>1871</v>
      </c>
      <c r="G43" s="56" t="s">
        <v>2278</v>
      </c>
    </row>
    <row r="44" spans="1:7">
      <c r="A44" s="56" t="s">
        <v>2276</v>
      </c>
      <c r="B44" s="56" t="s">
        <v>2273</v>
      </c>
      <c r="C44" s="56" t="s">
        <v>2277</v>
      </c>
      <c r="D44" s="56" t="s">
        <v>2234</v>
      </c>
      <c r="E44" s="74" t="s">
        <v>108</v>
      </c>
      <c r="F44" s="56" t="s">
        <v>1899</v>
      </c>
      <c r="G44" s="56" t="s">
        <v>2278</v>
      </c>
    </row>
    <row r="45" spans="1:7">
      <c r="A45" s="56" t="s">
        <v>2279</v>
      </c>
      <c r="B45" s="56" t="s">
        <v>2280</v>
      </c>
      <c r="C45" s="56" t="s">
        <v>108</v>
      </c>
      <c r="D45" s="56" t="s">
        <v>2232</v>
      </c>
      <c r="E45" s="74" t="s">
        <v>108</v>
      </c>
      <c r="F45" s="56" t="s">
        <v>1871</v>
      </c>
      <c r="G45" s="56" t="s">
        <v>2281</v>
      </c>
    </row>
    <row r="46" spans="1:7">
      <c r="A46" s="56" t="s">
        <v>2279</v>
      </c>
      <c r="B46" s="56" t="s">
        <v>2280</v>
      </c>
      <c r="C46" s="56" t="s">
        <v>108</v>
      </c>
      <c r="D46" s="56" t="s">
        <v>2234</v>
      </c>
      <c r="E46" s="74" t="s">
        <v>108</v>
      </c>
      <c r="F46" s="56" t="s">
        <v>1899</v>
      </c>
      <c r="G46" s="56" t="s">
        <v>2281</v>
      </c>
    </row>
    <row r="47" spans="1:7">
      <c r="A47" s="56" t="s">
        <v>2282</v>
      </c>
      <c r="B47" s="56" t="s">
        <v>2280</v>
      </c>
      <c r="C47" s="56" t="s">
        <v>108</v>
      </c>
      <c r="D47" s="56" t="s">
        <v>2232</v>
      </c>
      <c r="E47" s="74" t="s">
        <v>108</v>
      </c>
      <c r="F47" s="56" t="s">
        <v>1871</v>
      </c>
      <c r="G47" s="56" t="s">
        <v>2237</v>
      </c>
    </row>
    <row r="48" spans="1:7">
      <c r="A48" s="56" t="s">
        <v>2282</v>
      </c>
      <c r="B48" s="56" t="s">
        <v>2280</v>
      </c>
      <c r="C48" s="56" t="s">
        <v>108</v>
      </c>
      <c r="D48" s="56" t="s">
        <v>2234</v>
      </c>
      <c r="E48" s="74" t="s">
        <v>108</v>
      </c>
      <c r="F48" s="56" t="s">
        <v>1899</v>
      </c>
      <c r="G48" s="56" t="s">
        <v>2237</v>
      </c>
    </row>
    <row r="49" spans="1:7" ht="17.100000000000001">
      <c r="A49" s="75" t="s">
        <v>2283</v>
      </c>
      <c r="B49" s="75"/>
      <c r="C49" s="75"/>
      <c r="D49" s="75"/>
      <c r="E49" s="76"/>
      <c r="F49" s="75"/>
      <c r="G49" s="75"/>
    </row>
    <row r="50" spans="1:7">
      <c r="A50" s="56" t="s">
        <v>2284</v>
      </c>
      <c r="B50" s="56" t="s">
        <v>2285</v>
      </c>
      <c r="C50" s="56" t="s">
        <v>108</v>
      </c>
      <c r="D50" s="56" t="s">
        <v>2232</v>
      </c>
      <c r="E50" s="74" t="s">
        <v>108</v>
      </c>
      <c r="F50" s="56" t="s">
        <v>1871</v>
      </c>
      <c r="G50" s="56" t="s">
        <v>2286</v>
      </c>
    </row>
    <row r="51" spans="1:7">
      <c r="A51" s="56" t="s">
        <v>2284</v>
      </c>
      <c r="B51" s="56" t="s">
        <v>2285</v>
      </c>
      <c r="C51" s="56" t="s">
        <v>108</v>
      </c>
      <c r="D51" s="56" t="s">
        <v>2234</v>
      </c>
      <c r="E51" s="74" t="s">
        <v>108</v>
      </c>
      <c r="F51" s="56" t="s">
        <v>1899</v>
      </c>
      <c r="G51" s="56" t="s">
        <v>2286</v>
      </c>
    </row>
    <row r="52" spans="1:7">
      <c r="A52" s="56" t="s">
        <v>2287</v>
      </c>
      <c r="B52" s="56" t="s">
        <v>2248</v>
      </c>
      <c r="C52" s="56" t="s">
        <v>2288</v>
      </c>
      <c r="D52" s="56" t="s">
        <v>2232</v>
      </c>
      <c r="E52" s="74" t="s">
        <v>2255</v>
      </c>
      <c r="F52" s="56" t="s">
        <v>1876</v>
      </c>
      <c r="G52" s="56" t="s">
        <v>2237</v>
      </c>
    </row>
    <row r="53" spans="1:7">
      <c r="A53" s="56" t="s">
        <v>2287</v>
      </c>
      <c r="B53" s="56" t="s">
        <v>2248</v>
      </c>
      <c r="C53" s="56" t="s">
        <v>2288</v>
      </c>
      <c r="D53" s="56" t="s">
        <v>2234</v>
      </c>
      <c r="E53" s="74" t="s">
        <v>2255</v>
      </c>
      <c r="F53" s="56" t="s">
        <v>1899</v>
      </c>
      <c r="G53" s="56" t="s">
        <v>2237</v>
      </c>
    </row>
    <row r="54" spans="1:7">
      <c r="A54" s="56" t="s">
        <v>2289</v>
      </c>
      <c r="B54" s="56" t="s">
        <v>2248</v>
      </c>
      <c r="C54" s="56" t="s">
        <v>2254</v>
      </c>
      <c r="D54" s="56" t="s">
        <v>2232</v>
      </c>
      <c r="E54" s="74" t="s">
        <v>2255</v>
      </c>
      <c r="F54" s="56" t="s">
        <v>1876</v>
      </c>
      <c r="G54" s="56" t="s">
        <v>2237</v>
      </c>
    </row>
    <row r="55" spans="1:7">
      <c r="A55" s="56" t="s">
        <v>2289</v>
      </c>
      <c r="B55" s="56" t="s">
        <v>2248</v>
      </c>
      <c r="C55" s="56" t="s">
        <v>2254</v>
      </c>
      <c r="D55" s="56" t="s">
        <v>2234</v>
      </c>
      <c r="E55" s="74" t="s">
        <v>2255</v>
      </c>
      <c r="F55" s="56" t="s">
        <v>1899</v>
      </c>
      <c r="G55" s="56" t="s">
        <v>2237</v>
      </c>
    </row>
    <row r="56" spans="1:7">
      <c r="A56" s="56" t="s">
        <v>2290</v>
      </c>
      <c r="B56" s="56" t="s">
        <v>2248</v>
      </c>
      <c r="C56" s="56" t="s">
        <v>2254</v>
      </c>
      <c r="D56" s="56" t="s">
        <v>2232</v>
      </c>
      <c r="E56" s="74" t="s">
        <v>2255</v>
      </c>
      <c r="F56" s="56" t="s">
        <v>1876</v>
      </c>
      <c r="G56" s="56" t="s">
        <v>2237</v>
      </c>
    </row>
    <row r="57" spans="1:7">
      <c r="A57" s="56" t="s">
        <v>2290</v>
      </c>
      <c r="B57" s="56" t="s">
        <v>2248</v>
      </c>
      <c r="C57" s="56" t="s">
        <v>2254</v>
      </c>
      <c r="D57" s="56" t="s">
        <v>2234</v>
      </c>
      <c r="E57" s="74" t="s">
        <v>2255</v>
      </c>
      <c r="F57" s="56" t="s">
        <v>1899</v>
      </c>
      <c r="G57" s="56" t="s">
        <v>2237</v>
      </c>
    </row>
    <row r="58" spans="1:7">
      <c r="A58" s="56" t="s">
        <v>2291</v>
      </c>
      <c r="B58" s="56" t="s">
        <v>2292</v>
      </c>
      <c r="C58" s="56" t="s">
        <v>2254</v>
      </c>
      <c r="D58" s="56" t="s">
        <v>2232</v>
      </c>
      <c r="E58" s="74" t="s">
        <v>2255</v>
      </c>
      <c r="F58" s="56" t="s">
        <v>1876</v>
      </c>
      <c r="G58" s="56" t="s">
        <v>2237</v>
      </c>
    </row>
    <row r="59" spans="1:7">
      <c r="A59" s="56" t="s">
        <v>2291</v>
      </c>
      <c r="B59" s="56" t="s">
        <v>2292</v>
      </c>
      <c r="C59" s="56" t="s">
        <v>2254</v>
      </c>
      <c r="D59" s="56" t="s">
        <v>2234</v>
      </c>
      <c r="E59" s="74" t="s">
        <v>2255</v>
      </c>
      <c r="F59" s="56" t="s">
        <v>1899</v>
      </c>
      <c r="G59" s="56" t="s">
        <v>2237</v>
      </c>
    </row>
    <row r="60" spans="1:7">
      <c r="A60" s="56" t="s">
        <v>2293</v>
      </c>
      <c r="B60" s="56"/>
      <c r="C60" s="56" t="s">
        <v>2254</v>
      </c>
      <c r="D60" s="56" t="s">
        <v>2232</v>
      </c>
      <c r="E60" s="74" t="s">
        <v>2255</v>
      </c>
      <c r="F60" s="56" t="s">
        <v>1876</v>
      </c>
      <c r="G60" s="56" t="s">
        <v>2237</v>
      </c>
    </row>
    <row r="61" spans="1:7">
      <c r="A61" s="56" t="s">
        <v>2293</v>
      </c>
      <c r="B61" s="56"/>
      <c r="C61" s="56" t="s">
        <v>2254</v>
      </c>
      <c r="D61" s="56" t="s">
        <v>2234</v>
      </c>
      <c r="E61" s="74" t="s">
        <v>2255</v>
      </c>
      <c r="F61" s="56" t="s">
        <v>1899</v>
      </c>
      <c r="G61" s="56" t="s">
        <v>2237</v>
      </c>
    </row>
    <row r="62" spans="1:7">
      <c r="A62" s="56" t="s">
        <v>2294</v>
      </c>
      <c r="B62" s="56"/>
      <c r="C62" s="56" t="s">
        <v>2254</v>
      </c>
      <c r="D62" s="56" t="s">
        <v>2232</v>
      </c>
      <c r="E62" s="74" t="s">
        <v>2255</v>
      </c>
      <c r="F62" s="56" t="s">
        <v>1876</v>
      </c>
      <c r="G62" s="56" t="s">
        <v>2237</v>
      </c>
    </row>
    <row r="63" spans="1:7">
      <c r="A63" s="56" t="s">
        <v>2294</v>
      </c>
      <c r="B63" s="56"/>
      <c r="C63" s="56" t="s">
        <v>2254</v>
      </c>
      <c r="D63" s="56" t="s">
        <v>2234</v>
      </c>
      <c r="E63" s="74" t="s">
        <v>2255</v>
      </c>
      <c r="F63" s="56" t="s">
        <v>1899</v>
      </c>
      <c r="G63" s="56" t="s">
        <v>2237</v>
      </c>
    </row>
    <row r="64" spans="1:7">
      <c r="A64" s="56" t="s">
        <v>2295</v>
      </c>
      <c r="B64" s="56"/>
      <c r="C64" s="56" t="s">
        <v>2254</v>
      </c>
      <c r="D64" s="56" t="s">
        <v>2232</v>
      </c>
      <c r="E64" s="74" t="s">
        <v>2255</v>
      </c>
      <c r="F64" s="56" t="s">
        <v>1876</v>
      </c>
      <c r="G64" s="56" t="s">
        <v>2237</v>
      </c>
    </row>
    <row r="65" spans="1:7">
      <c r="A65" s="56" t="s">
        <v>2295</v>
      </c>
      <c r="B65" s="56"/>
      <c r="C65" s="56" t="s">
        <v>2254</v>
      </c>
      <c r="D65" s="56" t="s">
        <v>2234</v>
      </c>
      <c r="E65" s="74" t="s">
        <v>2255</v>
      </c>
      <c r="F65" s="56" t="s">
        <v>1899</v>
      </c>
      <c r="G65" s="56" t="s">
        <v>2237</v>
      </c>
    </row>
    <row r="66" spans="1:7" ht="17.100000000000001">
      <c r="A66" s="75" t="s">
        <v>2296</v>
      </c>
      <c r="B66" s="75"/>
      <c r="C66" s="75"/>
      <c r="D66" s="75"/>
      <c r="E66" s="76"/>
      <c r="F66" s="75"/>
      <c r="G66" s="75"/>
    </row>
    <row r="67" spans="1:7">
      <c r="A67" s="56" t="s">
        <v>2297</v>
      </c>
      <c r="B67" s="56" t="s">
        <v>2298</v>
      </c>
      <c r="C67" s="56" t="s">
        <v>108</v>
      </c>
      <c r="D67" s="56" t="s">
        <v>2232</v>
      </c>
      <c r="E67" s="74" t="s">
        <v>108</v>
      </c>
      <c r="F67" s="56" t="s">
        <v>1871</v>
      </c>
      <c r="G67" s="56" t="s">
        <v>2237</v>
      </c>
    </row>
    <row r="68" spans="1:7">
      <c r="A68" s="56" t="s">
        <v>2297</v>
      </c>
      <c r="B68" s="56" t="s">
        <v>2298</v>
      </c>
      <c r="C68" s="56" t="s">
        <v>108</v>
      </c>
      <c r="D68" s="56" t="s">
        <v>2234</v>
      </c>
      <c r="E68" s="74" t="s">
        <v>108</v>
      </c>
      <c r="F68" s="56" t="s">
        <v>1899</v>
      </c>
      <c r="G68" s="56" t="s">
        <v>2237</v>
      </c>
    </row>
    <row r="69" spans="1:7">
      <c r="A69" s="56" t="s">
        <v>2299</v>
      </c>
      <c r="B69" s="56" t="s">
        <v>2298</v>
      </c>
      <c r="C69" s="56" t="s">
        <v>2300</v>
      </c>
      <c r="D69" s="56" t="s">
        <v>2232</v>
      </c>
      <c r="E69" s="74" t="s">
        <v>108</v>
      </c>
      <c r="F69" s="56" t="s">
        <v>1871</v>
      </c>
      <c r="G69" s="56" t="s">
        <v>2301</v>
      </c>
    </row>
    <row r="70" spans="1:7">
      <c r="A70" s="56" t="s">
        <v>2299</v>
      </c>
      <c r="B70" s="56" t="s">
        <v>2298</v>
      </c>
      <c r="C70" s="56" t="s">
        <v>2300</v>
      </c>
      <c r="D70" s="56" t="s">
        <v>2234</v>
      </c>
      <c r="E70" s="74" t="s">
        <v>108</v>
      </c>
      <c r="F70" s="56" t="s">
        <v>1899</v>
      </c>
      <c r="G70" s="56" t="s">
        <v>2301</v>
      </c>
    </row>
    <row r="71" spans="1:7">
      <c r="A71" s="56" t="s">
        <v>2302</v>
      </c>
      <c r="B71" s="56"/>
      <c r="C71" s="56" t="s">
        <v>2303</v>
      </c>
      <c r="D71" s="56" t="s">
        <v>2232</v>
      </c>
      <c r="E71" s="74" t="s">
        <v>108</v>
      </c>
      <c r="F71" s="56" t="s">
        <v>1871</v>
      </c>
      <c r="G71" s="56" t="s">
        <v>2237</v>
      </c>
    </row>
    <row r="72" spans="1:7">
      <c r="A72" s="56" t="s">
        <v>2302</v>
      </c>
      <c r="B72" s="56"/>
      <c r="C72" s="56" t="s">
        <v>2303</v>
      </c>
      <c r="D72" s="56" t="s">
        <v>2234</v>
      </c>
      <c r="E72" s="74" t="s">
        <v>108</v>
      </c>
      <c r="F72" s="56" t="s">
        <v>1899</v>
      </c>
      <c r="G72" s="56" t="s">
        <v>2237</v>
      </c>
    </row>
    <row r="73" spans="1:7">
      <c r="A73" s="56" t="s">
        <v>2304</v>
      </c>
      <c r="B73" s="56"/>
      <c r="C73" s="56" t="s">
        <v>2254</v>
      </c>
      <c r="D73" s="56" t="s">
        <v>2232</v>
      </c>
      <c r="E73" s="74" t="s">
        <v>2255</v>
      </c>
      <c r="F73" s="56" t="s">
        <v>1876</v>
      </c>
      <c r="G73" s="56" t="s">
        <v>2237</v>
      </c>
    </row>
    <row r="74" spans="1:7">
      <c r="A74" s="56" t="s">
        <v>2304</v>
      </c>
      <c r="B74" s="56"/>
      <c r="C74" s="56" t="s">
        <v>2254</v>
      </c>
      <c r="D74" s="56" t="s">
        <v>2234</v>
      </c>
      <c r="E74" s="74" t="s">
        <v>2255</v>
      </c>
      <c r="F74" s="56" t="s">
        <v>1899</v>
      </c>
      <c r="G74" s="56" t="s">
        <v>2237</v>
      </c>
    </row>
    <row r="75" spans="1:7">
      <c r="A75" s="56" t="s">
        <v>2305</v>
      </c>
      <c r="B75" s="56"/>
      <c r="C75" s="56" t="s">
        <v>2254</v>
      </c>
      <c r="D75" s="56" t="s">
        <v>2232</v>
      </c>
      <c r="E75" s="74" t="s">
        <v>2255</v>
      </c>
      <c r="F75" s="56" t="s">
        <v>1876</v>
      </c>
      <c r="G75" s="56" t="s">
        <v>2237</v>
      </c>
    </row>
    <row r="76" spans="1:7">
      <c r="A76" s="56" t="s">
        <v>2305</v>
      </c>
      <c r="B76" s="56"/>
      <c r="C76" s="56" t="s">
        <v>2254</v>
      </c>
      <c r="D76" s="56" t="s">
        <v>2234</v>
      </c>
      <c r="E76" s="74" t="s">
        <v>2255</v>
      </c>
      <c r="F76" s="56" t="s">
        <v>1899</v>
      </c>
      <c r="G76" s="56" t="s">
        <v>2237</v>
      </c>
    </row>
    <row r="77" spans="1:7">
      <c r="A77" s="56" t="s">
        <v>2306</v>
      </c>
      <c r="B77" s="56" t="s">
        <v>2298</v>
      </c>
      <c r="C77" s="56" t="s">
        <v>2307</v>
      </c>
      <c r="D77" s="56" t="s">
        <v>2234</v>
      </c>
      <c r="E77" s="74" t="s">
        <v>2307</v>
      </c>
      <c r="F77" s="56" t="s">
        <v>1899</v>
      </c>
      <c r="G77" s="56" t="s">
        <v>2237</v>
      </c>
    </row>
    <row r="78" spans="1:7">
      <c r="A78" s="56" t="s">
        <v>2308</v>
      </c>
      <c r="B78" s="56" t="s">
        <v>2309</v>
      </c>
      <c r="C78" s="56" t="s">
        <v>108</v>
      </c>
      <c r="D78" s="56" t="s">
        <v>2232</v>
      </c>
      <c r="E78" s="74" t="s">
        <v>108</v>
      </c>
      <c r="F78" s="56" t="s">
        <v>1871</v>
      </c>
      <c r="G78" s="56" t="s">
        <v>2237</v>
      </c>
    </row>
    <row r="79" spans="1:7">
      <c r="A79" s="56" t="s">
        <v>2308</v>
      </c>
      <c r="B79" s="56" t="s">
        <v>2309</v>
      </c>
      <c r="C79" s="56" t="s">
        <v>108</v>
      </c>
      <c r="D79" s="56" t="s">
        <v>2234</v>
      </c>
      <c r="E79" s="74" t="s">
        <v>108</v>
      </c>
      <c r="F79" s="56" t="s">
        <v>1899</v>
      </c>
      <c r="G79" s="56" t="s">
        <v>2237</v>
      </c>
    </row>
    <row r="80" spans="1:7" ht="17.100000000000001">
      <c r="A80" s="75" t="s">
        <v>2310</v>
      </c>
      <c r="B80" s="75"/>
      <c r="C80" s="75"/>
      <c r="D80" s="75"/>
      <c r="E80" s="76"/>
      <c r="F80" s="75"/>
      <c r="G80" s="75"/>
    </row>
    <row r="81" spans="1:7">
      <c r="A81" s="56" t="s">
        <v>2311</v>
      </c>
      <c r="B81" s="56"/>
      <c r="C81" s="56" t="s">
        <v>2307</v>
      </c>
      <c r="D81" s="56" t="s">
        <v>2234</v>
      </c>
      <c r="E81" s="74" t="s">
        <v>2307</v>
      </c>
      <c r="F81" s="56" t="s">
        <v>1899</v>
      </c>
      <c r="G81" s="56" t="s">
        <v>2237</v>
      </c>
    </row>
    <row r="82" spans="1:7">
      <c r="A82" s="56" t="s">
        <v>2312</v>
      </c>
      <c r="B82" s="56"/>
      <c r="C82" s="56" t="s">
        <v>2313</v>
      </c>
      <c r="D82" s="56" t="s">
        <v>2234</v>
      </c>
      <c r="E82" s="74" t="s">
        <v>2307</v>
      </c>
      <c r="F82" s="56" t="s">
        <v>1899</v>
      </c>
      <c r="G82" s="56" t="s">
        <v>2237</v>
      </c>
    </row>
    <row r="83" spans="1:7">
      <c r="A83" s="56" t="s">
        <v>2314</v>
      </c>
      <c r="B83" s="56" t="s">
        <v>2298</v>
      </c>
      <c r="C83" s="56" t="s">
        <v>108</v>
      </c>
      <c r="D83" s="56" t="s">
        <v>2232</v>
      </c>
      <c r="E83" s="74" t="s">
        <v>108</v>
      </c>
      <c r="F83" s="56" t="s">
        <v>1871</v>
      </c>
      <c r="G83" s="56" t="s">
        <v>2237</v>
      </c>
    </row>
    <row r="84" spans="1:7">
      <c r="A84" s="56" t="s">
        <v>2314</v>
      </c>
      <c r="B84" s="56" t="s">
        <v>2298</v>
      </c>
      <c r="C84" s="56" t="s">
        <v>108</v>
      </c>
      <c r="D84" s="56" t="s">
        <v>2234</v>
      </c>
      <c r="E84" s="74" t="s">
        <v>108</v>
      </c>
      <c r="F84" s="56" t="s">
        <v>1899</v>
      </c>
      <c r="G84" s="56" t="s">
        <v>2237</v>
      </c>
    </row>
    <row r="85" spans="1:7">
      <c r="A85" s="56" t="s">
        <v>2315</v>
      </c>
      <c r="B85" s="56" t="s">
        <v>2298</v>
      </c>
      <c r="C85" s="56" t="s">
        <v>108</v>
      </c>
      <c r="D85" s="56" t="s">
        <v>2232</v>
      </c>
      <c r="E85" s="74" t="s">
        <v>108</v>
      </c>
      <c r="F85" s="56" t="s">
        <v>1871</v>
      </c>
      <c r="G85" s="56" t="s">
        <v>2237</v>
      </c>
    </row>
    <row r="86" spans="1:7">
      <c r="A86" s="56" t="s">
        <v>2315</v>
      </c>
      <c r="B86" s="56" t="s">
        <v>2298</v>
      </c>
      <c r="C86" s="56" t="s">
        <v>108</v>
      </c>
      <c r="D86" s="56" t="s">
        <v>2234</v>
      </c>
      <c r="E86" s="74" t="s">
        <v>108</v>
      </c>
      <c r="F86" s="56" t="s">
        <v>1899</v>
      </c>
      <c r="G86" s="56" t="s">
        <v>2237</v>
      </c>
    </row>
    <row r="87" spans="1:7">
      <c r="A87" s="56" t="s">
        <v>2316</v>
      </c>
      <c r="B87" s="56" t="s">
        <v>2292</v>
      </c>
      <c r="C87" s="56" t="s">
        <v>108</v>
      </c>
      <c r="D87" s="56" t="s">
        <v>2232</v>
      </c>
      <c r="E87" s="74" t="s">
        <v>108</v>
      </c>
      <c r="F87" s="56" t="s">
        <v>1871</v>
      </c>
      <c r="G87" s="56" t="s">
        <v>2237</v>
      </c>
    </row>
    <row r="88" spans="1:7">
      <c r="A88" s="56" t="s">
        <v>2316</v>
      </c>
      <c r="B88" s="56" t="s">
        <v>2292</v>
      </c>
      <c r="C88" s="56" t="s">
        <v>108</v>
      </c>
      <c r="D88" s="56" t="s">
        <v>2234</v>
      </c>
      <c r="E88" s="74" t="s">
        <v>108</v>
      </c>
      <c r="F88" s="56" t="s">
        <v>1899</v>
      </c>
      <c r="G88" s="56" t="s">
        <v>2237</v>
      </c>
    </row>
    <row r="89" spans="1:7">
      <c r="A89" s="56" t="s">
        <v>2317</v>
      </c>
      <c r="B89" s="56" t="s">
        <v>2318</v>
      </c>
      <c r="C89" s="56" t="s">
        <v>2307</v>
      </c>
      <c r="D89" s="56" t="s">
        <v>2234</v>
      </c>
      <c r="E89" s="74" t="s">
        <v>2307</v>
      </c>
      <c r="F89" s="56" t="s">
        <v>1899</v>
      </c>
      <c r="G89" s="56" t="s">
        <v>2237</v>
      </c>
    </row>
    <row r="90" spans="1:7">
      <c r="A90" s="56" t="s">
        <v>2319</v>
      </c>
      <c r="B90" s="56" t="s">
        <v>2318</v>
      </c>
      <c r="C90" s="56" t="s">
        <v>2307</v>
      </c>
      <c r="D90" s="56" t="s">
        <v>2234</v>
      </c>
      <c r="E90" s="74" t="s">
        <v>2307</v>
      </c>
      <c r="F90" s="56" t="s">
        <v>1899</v>
      </c>
      <c r="G90" s="56" t="s">
        <v>2237</v>
      </c>
    </row>
    <row r="91" spans="1:7">
      <c r="A91" s="56" t="s">
        <v>2320</v>
      </c>
      <c r="B91" s="56"/>
      <c r="C91" s="56" t="s">
        <v>2254</v>
      </c>
      <c r="D91" s="56" t="s">
        <v>2232</v>
      </c>
      <c r="E91" s="74" t="s">
        <v>2255</v>
      </c>
      <c r="F91" s="56" t="s">
        <v>1876</v>
      </c>
      <c r="G91" s="56" t="s">
        <v>2237</v>
      </c>
    </row>
    <row r="92" spans="1:7">
      <c r="A92" s="56" t="s">
        <v>2320</v>
      </c>
      <c r="B92" s="56"/>
      <c r="C92" s="56" t="s">
        <v>2254</v>
      </c>
      <c r="D92" s="56" t="s">
        <v>2234</v>
      </c>
      <c r="E92" s="74" t="s">
        <v>2255</v>
      </c>
      <c r="F92" s="56" t="s">
        <v>1899</v>
      </c>
      <c r="G92" s="56" t="s">
        <v>2237</v>
      </c>
    </row>
    <row r="93" spans="1:7">
      <c r="A93" s="56" t="s">
        <v>2321</v>
      </c>
      <c r="B93" s="56" t="s">
        <v>2318</v>
      </c>
      <c r="C93" s="56" t="s">
        <v>108</v>
      </c>
      <c r="D93" s="56" t="s">
        <v>2232</v>
      </c>
      <c r="E93" s="74" t="s">
        <v>108</v>
      </c>
      <c r="F93" s="56" t="s">
        <v>1871</v>
      </c>
      <c r="G93" s="56" t="s">
        <v>2322</v>
      </c>
    </row>
    <row r="94" spans="1:7">
      <c r="A94" s="56" t="s">
        <v>2321</v>
      </c>
      <c r="B94" s="56" t="s">
        <v>2318</v>
      </c>
      <c r="C94" s="56" t="s">
        <v>108</v>
      </c>
      <c r="D94" s="56" t="s">
        <v>2234</v>
      </c>
      <c r="E94" s="74" t="s">
        <v>108</v>
      </c>
      <c r="F94" s="56" t="s">
        <v>1899</v>
      </c>
      <c r="G94" s="56" t="s">
        <v>2322</v>
      </c>
    </row>
    <row r="95" spans="1:7" ht="17.100000000000001">
      <c r="A95" s="75" t="s">
        <v>2323</v>
      </c>
      <c r="B95" s="75"/>
      <c r="C95" s="75"/>
      <c r="D95" s="75"/>
      <c r="E95" s="76"/>
      <c r="F95" s="75"/>
      <c r="G95" s="75"/>
    </row>
    <row r="96" spans="1:7">
      <c r="A96" s="56" t="s">
        <v>2324</v>
      </c>
      <c r="B96" s="56" t="s">
        <v>2325</v>
      </c>
      <c r="C96" s="56" t="s">
        <v>108</v>
      </c>
      <c r="D96" s="56" t="s">
        <v>2232</v>
      </c>
      <c r="E96" s="74" t="s">
        <v>108</v>
      </c>
      <c r="F96" s="56" t="s">
        <v>1871</v>
      </c>
      <c r="G96" s="56" t="s">
        <v>2237</v>
      </c>
    </row>
    <row r="97" spans="1:7">
      <c r="A97" s="56" t="s">
        <v>2324</v>
      </c>
      <c r="B97" s="56" t="s">
        <v>2325</v>
      </c>
      <c r="C97" s="56" t="s">
        <v>108</v>
      </c>
      <c r="D97" s="56" t="s">
        <v>2234</v>
      </c>
      <c r="E97" s="74" t="s">
        <v>108</v>
      </c>
      <c r="F97" s="56" t="s">
        <v>1899</v>
      </c>
      <c r="G97" s="56" t="s">
        <v>2237</v>
      </c>
    </row>
    <row r="98" spans="1:7">
      <c r="A98" s="56" t="s">
        <v>2326</v>
      </c>
      <c r="B98" s="56" t="s">
        <v>2327</v>
      </c>
      <c r="C98" s="56" t="s">
        <v>108</v>
      </c>
      <c r="D98" s="56" t="s">
        <v>2232</v>
      </c>
      <c r="E98" s="74" t="s">
        <v>108</v>
      </c>
      <c r="F98" s="56" t="s">
        <v>1871</v>
      </c>
      <c r="G98" s="56" t="s">
        <v>2237</v>
      </c>
    </row>
    <row r="99" spans="1:7">
      <c r="A99" s="56" t="s">
        <v>2326</v>
      </c>
      <c r="B99" s="56" t="s">
        <v>2327</v>
      </c>
      <c r="C99" s="56" t="s">
        <v>108</v>
      </c>
      <c r="D99" s="56" t="s">
        <v>2234</v>
      </c>
      <c r="E99" s="74" t="s">
        <v>108</v>
      </c>
      <c r="F99" s="56" t="s">
        <v>1899</v>
      </c>
      <c r="G99" s="56" t="s">
        <v>2237</v>
      </c>
    </row>
    <row r="100" spans="1:7">
      <c r="A100" s="56" t="s">
        <v>2328</v>
      </c>
      <c r="B100" s="56" t="s">
        <v>2327</v>
      </c>
      <c r="C100" s="56" t="s">
        <v>108</v>
      </c>
      <c r="D100" s="56" t="s">
        <v>2232</v>
      </c>
      <c r="E100" s="74" t="s">
        <v>108</v>
      </c>
      <c r="F100" s="56" t="s">
        <v>1871</v>
      </c>
      <c r="G100" s="56" t="s">
        <v>2237</v>
      </c>
    </row>
    <row r="101" spans="1:7">
      <c r="A101" s="56" t="s">
        <v>2328</v>
      </c>
      <c r="B101" s="56" t="s">
        <v>2327</v>
      </c>
      <c r="C101" s="56" t="s">
        <v>108</v>
      </c>
      <c r="D101" s="56" t="s">
        <v>2234</v>
      </c>
      <c r="E101" s="74" t="s">
        <v>108</v>
      </c>
      <c r="F101" s="56" t="s">
        <v>1899</v>
      </c>
      <c r="G101" s="56" t="s">
        <v>2237</v>
      </c>
    </row>
    <row r="102" spans="1:7" ht="17.100000000000001">
      <c r="A102" s="75" t="s">
        <v>2329</v>
      </c>
      <c r="B102" s="75"/>
      <c r="C102" s="75"/>
      <c r="D102" s="75"/>
      <c r="E102" s="76"/>
      <c r="F102" s="75"/>
      <c r="G102" s="75"/>
    </row>
    <row r="103" spans="1:7">
      <c r="A103" s="56" t="s">
        <v>2330</v>
      </c>
      <c r="B103" s="56" t="s">
        <v>2331</v>
      </c>
      <c r="C103" s="56" t="s">
        <v>2307</v>
      </c>
      <c r="D103" s="56" t="s">
        <v>2234</v>
      </c>
      <c r="E103" s="74" t="s">
        <v>2307</v>
      </c>
      <c r="F103" s="56" t="s">
        <v>1899</v>
      </c>
      <c r="G103" s="56" t="s">
        <v>2332</v>
      </c>
    </row>
    <row r="104" spans="1:7">
      <c r="A104" s="56" t="s">
        <v>2333</v>
      </c>
      <c r="B104" s="56" t="s">
        <v>2334</v>
      </c>
      <c r="C104" s="56" t="s">
        <v>108</v>
      </c>
      <c r="D104" s="56" t="s">
        <v>2232</v>
      </c>
      <c r="E104" s="74" t="s">
        <v>108</v>
      </c>
      <c r="F104" s="56" t="s">
        <v>1871</v>
      </c>
      <c r="G104" s="56" t="s">
        <v>2335</v>
      </c>
    </row>
    <row r="105" spans="1:7">
      <c r="A105" s="56" t="s">
        <v>2333</v>
      </c>
      <c r="B105" s="56" t="s">
        <v>2334</v>
      </c>
      <c r="C105" s="56" t="s">
        <v>108</v>
      </c>
      <c r="D105" s="56" t="s">
        <v>2234</v>
      </c>
      <c r="E105" s="74" t="s">
        <v>108</v>
      </c>
      <c r="F105" s="56" t="s">
        <v>1899</v>
      </c>
      <c r="G105" s="56" t="s">
        <v>2335</v>
      </c>
    </row>
    <row r="106" spans="1:7">
      <c r="A106" s="56" t="s">
        <v>2336</v>
      </c>
      <c r="B106" s="56" t="s">
        <v>2337</v>
      </c>
      <c r="C106" s="56" t="s">
        <v>108</v>
      </c>
      <c r="D106" s="56" t="s">
        <v>2232</v>
      </c>
      <c r="E106" s="74" t="s">
        <v>108</v>
      </c>
      <c r="F106" s="56" t="s">
        <v>1871</v>
      </c>
      <c r="G106" s="56" t="s">
        <v>2338</v>
      </c>
    </row>
    <row r="107" spans="1:7">
      <c r="A107" s="56" t="s">
        <v>2336</v>
      </c>
      <c r="B107" s="56" t="s">
        <v>2337</v>
      </c>
      <c r="C107" s="56" t="s">
        <v>108</v>
      </c>
      <c r="D107" s="56" t="s">
        <v>2234</v>
      </c>
      <c r="E107" s="74" t="s">
        <v>108</v>
      </c>
      <c r="F107" s="56" t="s">
        <v>1899</v>
      </c>
      <c r="G107" s="56" t="s">
        <v>2338</v>
      </c>
    </row>
    <row r="108" spans="1:7">
      <c r="A108" s="56" t="s">
        <v>2339</v>
      </c>
      <c r="B108" s="56" t="s">
        <v>2340</v>
      </c>
      <c r="C108" s="56" t="s">
        <v>108</v>
      </c>
      <c r="D108" s="56" t="s">
        <v>2232</v>
      </c>
      <c r="E108" s="74" t="s">
        <v>108</v>
      </c>
      <c r="F108" s="56" t="s">
        <v>1871</v>
      </c>
      <c r="G108" s="56" t="s">
        <v>2341</v>
      </c>
    </row>
    <row r="109" spans="1:7">
      <c r="A109" s="56" t="s">
        <v>2339</v>
      </c>
      <c r="B109" s="56" t="s">
        <v>2340</v>
      </c>
      <c r="C109" s="56" t="s">
        <v>108</v>
      </c>
      <c r="D109" s="56" t="s">
        <v>2234</v>
      </c>
      <c r="E109" s="74" t="s">
        <v>108</v>
      </c>
      <c r="F109" s="56" t="s">
        <v>1899</v>
      </c>
      <c r="G109" s="56" t="s">
        <v>2341</v>
      </c>
    </row>
    <row r="110" spans="1:7">
      <c r="A110" s="56" t="s">
        <v>2342</v>
      </c>
      <c r="B110" s="56"/>
      <c r="C110" s="56" t="s">
        <v>2254</v>
      </c>
      <c r="D110" s="56" t="s">
        <v>2232</v>
      </c>
      <c r="E110" s="74" t="s">
        <v>2255</v>
      </c>
      <c r="F110" s="56" t="s">
        <v>1876</v>
      </c>
      <c r="G110" s="56" t="s">
        <v>2237</v>
      </c>
    </row>
    <row r="111" spans="1:7">
      <c r="A111" s="56" t="s">
        <v>2342</v>
      </c>
      <c r="B111" s="56"/>
      <c r="C111" s="56" t="s">
        <v>2254</v>
      </c>
      <c r="D111" s="56" t="s">
        <v>2234</v>
      </c>
      <c r="E111" s="74" t="s">
        <v>2255</v>
      </c>
      <c r="F111" s="56" t="s">
        <v>1899</v>
      </c>
      <c r="G111" s="56" t="s">
        <v>2237</v>
      </c>
    </row>
    <row r="112" spans="1:7" ht="17.100000000000001">
      <c r="A112" s="75" t="s">
        <v>2343</v>
      </c>
      <c r="B112" s="75"/>
      <c r="C112" s="75"/>
      <c r="D112" s="75"/>
      <c r="E112" s="76"/>
      <c r="F112" s="75"/>
      <c r="G112" s="75"/>
    </row>
    <row r="113" spans="1:7">
      <c r="A113" s="56" t="s">
        <v>2344</v>
      </c>
      <c r="B113" s="56" t="s">
        <v>2334</v>
      </c>
      <c r="C113" s="56" t="s">
        <v>108</v>
      </c>
      <c r="D113" s="56" t="s">
        <v>2232</v>
      </c>
      <c r="E113" s="74" t="s">
        <v>108</v>
      </c>
      <c r="F113" s="56" t="s">
        <v>1871</v>
      </c>
      <c r="G113" s="56" t="s">
        <v>2345</v>
      </c>
    </row>
    <row r="114" spans="1:7">
      <c r="A114" s="56" t="s">
        <v>2344</v>
      </c>
      <c r="B114" s="56" t="s">
        <v>2334</v>
      </c>
      <c r="C114" s="56" t="s">
        <v>108</v>
      </c>
      <c r="D114" s="56" t="s">
        <v>2234</v>
      </c>
      <c r="E114" s="74" t="s">
        <v>108</v>
      </c>
      <c r="F114" s="56" t="s">
        <v>1899</v>
      </c>
      <c r="G114" s="56" t="s">
        <v>2345</v>
      </c>
    </row>
    <row r="115" spans="1:7">
      <c r="A115" s="56" t="s">
        <v>2346</v>
      </c>
      <c r="B115" s="56" t="s">
        <v>2347</v>
      </c>
      <c r="C115" s="56" t="s">
        <v>108</v>
      </c>
      <c r="D115" s="56" t="s">
        <v>2232</v>
      </c>
      <c r="E115" s="74" t="s">
        <v>108</v>
      </c>
      <c r="F115" s="56" t="s">
        <v>1871</v>
      </c>
      <c r="G115" s="56" t="s">
        <v>2348</v>
      </c>
    </row>
    <row r="116" spans="1:7">
      <c r="A116" s="56" t="s">
        <v>2346</v>
      </c>
      <c r="B116" s="56" t="s">
        <v>2347</v>
      </c>
      <c r="C116" s="56" t="s">
        <v>108</v>
      </c>
      <c r="D116" s="56" t="s">
        <v>2234</v>
      </c>
      <c r="E116" s="74" t="s">
        <v>108</v>
      </c>
      <c r="F116" s="56" t="s">
        <v>1899</v>
      </c>
      <c r="G116" s="56" t="s">
        <v>2348</v>
      </c>
    </row>
    <row r="117" spans="1:7">
      <c r="A117" s="56" t="s">
        <v>2349</v>
      </c>
      <c r="B117" s="56" t="s">
        <v>2350</v>
      </c>
      <c r="C117" s="56" t="s">
        <v>108</v>
      </c>
      <c r="D117" s="56" t="s">
        <v>2232</v>
      </c>
      <c r="E117" s="74" t="s">
        <v>108</v>
      </c>
      <c r="F117" s="56" t="s">
        <v>1871</v>
      </c>
      <c r="G117" s="56" t="s">
        <v>2351</v>
      </c>
    </row>
    <row r="118" spans="1:7">
      <c r="A118" s="56" t="s">
        <v>2349</v>
      </c>
      <c r="B118" s="56" t="s">
        <v>2350</v>
      </c>
      <c r="C118" s="56" t="s">
        <v>108</v>
      </c>
      <c r="D118" s="56" t="s">
        <v>2234</v>
      </c>
      <c r="E118" s="74" t="s">
        <v>108</v>
      </c>
      <c r="F118" s="56" t="s">
        <v>1899</v>
      </c>
      <c r="G118" s="56" t="s">
        <v>2351</v>
      </c>
    </row>
    <row r="119" spans="1:7">
      <c r="A119" s="56" t="s">
        <v>2352</v>
      </c>
      <c r="B119" s="56" t="s">
        <v>2353</v>
      </c>
      <c r="C119" s="56" t="s">
        <v>2307</v>
      </c>
      <c r="D119" s="56" t="s">
        <v>2234</v>
      </c>
      <c r="E119" s="74" t="s">
        <v>2307</v>
      </c>
      <c r="F119" s="56" t="s">
        <v>1899</v>
      </c>
      <c r="G119" s="56" t="s">
        <v>2237</v>
      </c>
    </row>
    <row r="120" spans="1:7">
      <c r="A120" s="56" t="s">
        <v>2354</v>
      </c>
      <c r="B120" s="56" t="s">
        <v>2353</v>
      </c>
      <c r="C120" s="56" t="s">
        <v>2355</v>
      </c>
      <c r="D120" s="56" t="s">
        <v>2232</v>
      </c>
      <c r="E120" s="74" t="s">
        <v>108</v>
      </c>
      <c r="F120" s="56" t="s">
        <v>1871</v>
      </c>
      <c r="G120" s="56" t="s">
        <v>2237</v>
      </c>
    </row>
    <row r="121" spans="1:7">
      <c r="A121" s="56" t="s">
        <v>2354</v>
      </c>
      <c r="B121" s="56" t="s">
        <v>2353</v>
      </c>
      <c r="C121" s="56" t="s">
        <v>2355</v>
      </c>
      <c r="D121" s="56" t="s">
        <v>2234</v>
      </c>
      <c r="E121" s="74" t="s">
        <v>108</v>
      </c>
      <c r="F121" s="56" t="s">
        <v>1899</v>
      </c>
      <c r="G121" s="56" t="s">
        <v>2237</v>
      </c>
    </row>
    <row r="122" spans="1:7" ht="17.100000000000001">
      <c r="A122" s="75" t="s">
        <v>2356</v>
      </c>
      <c r="B122" s="75"/>
      <c r="C122" s="75"/>
      <c r="D122" s="75"/>
      <c r="E122" s="76"/>
      <c r="F122" s="75"/>
      <c r="G122" s="75"/>
    </row>
    <row r="123" spans="1:7">
      <c r="A123" s="56" t="s">
        <v>2357</v>
      </c>
      <c r="B123" s="56" t="s">
        <v>2358</v>
      </c>
      <c r="C123" s="56" t="s">
        <v>108</v>
      </c>
      <c r="D123" s="56" t="s">
        <v>2232</v>
      </c>
      <c r="E123" s="74" t="s">
        <v>108</v>
      </c>
      <c r="F123" s="56" t="s">
        <v>1871</v>
      </c>
      <c r="G123" s="56" t="s">
        <v>2237</v>
      </c>
    </row>
    <row r="124" spans="1:7">
      <c r="A124" s="56" t="s">
        <v>2357</v>
      </c>
      <c r="B124" s="56" t="s">
        <v>2358</v>
      </c>
      <c r="C124" s="56" t="s">
        <v>108</v>
      </c>
      <c r="D124" s="56" t="s">
        <v>2234</v>
      </c>
      <c r="E124" s="74" t="s">
        <v>108</v>
      </c>
      <c r="F124" s="56" t="s">
        <v>1899</v>
      </c>
      <c r="G124" s="56" t="s">
        <v>2237</v>
      </c>
    </row>
    <row r="125" spans="1:7">
      <c r="A125" s="56" t="s">
        <v>2359</v>
      </c>
      <c r="B125" s="56" t="s">
        <v>2358</v>
      </c>
      <c r="C125" s="56" t="s">
        <v>2307</v>
      </c>
      <c r="D125" s="56" t="s">
        <v>2234</v>
      </c>
      <c r="E125" s="74" t="s">
        <v>2307</v>
      </c>
      <c r="F125" s="56" t="s">
        <v>1899</v>
      </c>
      <c r="G125" s="56" t="s">
        <v>2360</v>
      </c>
    </row>
    <row r="126" spans="1:7">
      <c r="A126" s="56" t="s">
        <v>2361</v>
      </c>
      <c r="B126" s="56" t="s">
        <v>2362</v>
      </c>
      <c r="C126" s="56" t="s">
        <v>2363</v>
      </c>
      <c r="D126" s="56" t="s">
        <v>2234</v>
      </c>
      <c r="E126" s="74" t="s">
        <v>2364</v>
      </c>
      <c r="F126" s="56" t="s">
        <v>1899</v>
      </c>
      <c r="G126" s="56" t="s">
        <v>2365</v>
      </c>
    </row>
    <row r="127" spans="1:7">
      <c r="A127" s="56" t="s">
        <v>2366</v>
      </c>
      <c r="B127" s="56" t="s">
        <v>2362</v>
      </c>
      <c r="C127" s="56" t="s">
        <v>2265</v>
      </c>
      <c r="D127" s="56" t="s">
        <v>2232</v>
      </c>
      <c r="E127" s="74" t="s">
        <v>108</v>
      </c>
      <c r="F127" s="56" t="s">
        <v>1871</v>
      </c>
      <c r="G127" s="56" t="s">
        <v>2367</v>
      </c>
    </row>
    <row r="128" spans="1:7">
      <c r="A128" s="56" t="s">
        <v>2366</v>
      </c>
      <c r="B128" s="56" t="s">
        <v>2362</v>
      </c>
      <c r="C128" s="56" t="s">
        <v>2265</v>
      </c>
      <c r="D128" s="56" t="s">
        <v>2234</v>
      </c>
      <c r="E128" s="74" t="s">
        <v>108</v>
      </c>
      <c r="F128" s="56" t="s">
        <v>1899</v>
      </c>
      <c r="G128" s="56" t="s">
        <v>2367</v>
      </c>
    </row>
    <row r="129" spans="1:7">
      <c r="A129" s="56" t="s">
        <v>2368</v>
      </c>
      <c r="B129" s="56" t="s">
        <v>2358</v>
      </c>
      <c r="C129" s="56" t="s">
        <v>2369</v>
      </c>
      <c r="D129" s="56" t="s">
        <v>2232</v>
      </c>
      <c r="E129" s="74" t="s">
        <v>108</v>
      </c>
      <c r="F129" s="56" t="s">
        <v>1871</v>
      </c>
      <c r="G129" s="56" t="s">
        <v>2237</v>
      </c>
    </row>
    <row r="130" spans="1:7">
      <c r="A130" s="56" t="s">
        <v>2368</v>
      </c>
      <c r="B130" s="56" t="s">
        <v>2358</v>
      </c>
      <c r="C130" s="56" t="s">
        <v>2369</v>
      </c>
      <c r="D130" s="56" t="s">
        <v>2234</v>
      </c>
      <c r="E130" s="74" t="s">
        <v>108</v>
      </c>
      <c r="F130" s="56" t="s">
        <v>1899</v>
      </c>
      <c r="G130" s="56" t="s">
        <v>2237</v>
      </c>
    </row>
    <row r="131" spans="1:7">
      <c r="A131" s="56" t="s">
        <v>2370</v>
      </c>
      <c r="B131" s="56" t="s">
        <v>2358</v>
      </c>
      <c r="C131" s="56" t="s">
        <v>2371</v>
      </c>
      <c r="D131" s="56" t="s">
        <v>2232</v>
      </c>
      <c r="E131" s="74" t="s">
        <v>108</v>
      </c>
      <c r="F131" s="56" t="s">
        <v>1871</v>
      </c>
      <c r="G131" s="56" t="s">
        <v>2372</v>
      </c>
    </row>
    <row r="132" spans="1:7">
      <c r="A132" s="56" t="s">
        <v>2370</v>
      </c>
      <c r="B132" s="56" t="s">
        <v>2358</v>
      </c>
      <c r="C132" s="56" t="s">
        <v>2371</v>
      </c>
      <c r="D132" s="56" t="s">
        <v>2234</v>
      </c>
      <c r="E132" s="74" t="s">
        <v>108</v>
      </c>
      <c r="F132" s="56" t="s">
        <v>1899</v>
      </c>
      <c r="G132" s="56" t="s">
        <v>2372</v>
      </c>
    </row>
    <row r="133" spans="1:7" ht="17.100000000000001">
      <c r="A133" s="75" t="s">
        <v>2373</v>
      </c>
      <c r="B133" s="75"/>
      <c r="C133" s="75"/>
      <c r="D133" s="75"/>
      <c r="E133" s="76"/>
      <c r="F133" s="75"/>
      <c r="G133" s="75"/>
    </row>
    <row r="134" spans="1:7">
      <c r="A134" s="56" t="s">
        <v>2374</v>
      </c>
      <c r="B134" s="56" t="s">
        <v>2375</v>
      </c>
      <c r="C134" s="56" t="s">
        <v>2376</v>
      </c>
      <c r="D134" s="56" t="s">
        <v>2232</v>
      </c>
      <c r="E134" s="74" t="s">
        <v>108</v>
      </c>
      <c r="F134" s="56" t="s">
        <v>1871</v>
      </c>
      <c r="G134" s="56" t="s">
        <v>2377</v>
      </c>
    </row>
    <row r="135" spans="1:7">
      <c r="A135" s="56" t="s">
        <v>2374</v>
      </c>
      <c r="B135" s="56" t="s">
        <v>2375</v>
      </c>
      <c r="C135" s="56" t="s">
        <v>2376</v>
      </c>
      <c r="D135" s="56" t="s">
        <v>2234</v>
      </c>
      <c r="E135" s="74" t="s">
        <v>108</v>
      </c>
      <c r="F135" s="56" t="s">
        <v>1899</v>
      </c>
      <c r="G135" s="56" t="s">
        <v>2377</v>
      </c>
    </row>
    <row r="136" spans="1:7">
      <c r="A136" s="56" t="s">
        <v>2378</v>
      </c>
      <c r="B136" s="56" t="s">
        <v>2379</v>
      </c>
      <c r="C136" s="56" t="s">
        <v>2380</v>
      </c>
      <c r="D136" s="56" t="s">
        <v>2232</v>
      </c>
      <c r="E136" s="74" t="s">
        <v>108</v>
      </c>
      <c r="F136" s="56" t="s">
        <v>1871</v>
      </c>
      <c r="G136" s="56" t="s">
        <v>2381</v>
      </c>
    </row>
    <row r="137" spans="1:7">
      <c r="A137" s="56" t="s">
        <v>2378</v>
      </c>
      <c r="B137" s="56" t="s">
        <v>2379</v>
      </c>
      <c r="C137" s="56" t="s">
        <v>2380</v>
      </c>
      <c r="D137" s="56" t="s">
        <v>2234</v>
      </c>
      <c r="E137" s="74" t="s">
        <v>108</v>
      </c>
      <c r="F137" s="56" t="s">
        <v>1899</v>
      </c>
      <c r="G137" s="56" t="s">
        <v>2381</v>
      </c>
    </row>
    <row r="138" spans="1:7">
      <c r="A138" s="56" t="s">
        <v>2382</v>
      </c>
      <c r="B138" s="56"/>
      <c r="C138" s="56" t="s">
        <v>2254</v>
      </c>
      <c r="D138" s="56" t="s">
        <v>2232</v>
      </c>
      <c r="E138" s="74" t="s">
        <v>2255</v>
      </c>
      <c r="F138" s="56" t="s">
        <v>1876</v>
      </c>
      <c r="G138" s="56" t="s">
        <v>2237</v>
      </c>
    </row>
    <row r="139" spans="1:7">
      <c r="A139" s="56" t="s">
        <v>2382</v>
      </c>
      <c r="B139" s="56"/>
      <c r="C139" s="56" t="s">
        <v>2254</v>
      </c>
      <c r="D139" s="56" t="s">
        <v>2234</v>
      </c>
      <c r="E139" s="74" t="s">
        <v>2255</v>
      </c>
      <c r="F139" s="56" t="s">
        <v>1899</v>
      </c>
      <c r="G139" s="56" t="s">
        <v>2237</v>
      </c>
    </row>
    <row r="140" spans="1:7">
      <c r="A140" s="56" t="s">
        <v>2383</v>
      </c>
      <c r="B140" s="56"/>
      <c r="C140" s="56" t="s">
        <v>108</v>
      </c>
      <c r="D140" s="56" t="s">
        <v>2232</v>
      </c>
      <c r="E140" s="74" t="s">
        <v>108</v>
      </c>
      <c r="F140" s="56" t="s">
        <v>1871</v>
      </c>
      <c r="G140" s="56" t="s">
        <v>2237</v>
      </c>
    </row>
    <row r="141" spans="1:7">
      <c r="A141" s="56" t="s">
        <v>2383</v>
      </c>
      <c r="B141" s="56"/>
      <c r="C141" s="56" t="s">
        <v>108</v>
      </c>
      <c r="D141" s="56" t="s">
        <v>2234</v>
      </c>
      <c r="E141" s="74" t="s">
        <v>108</v>
      </c>
      <c r="F141" s="56" t="s">
        <v>1899</v>
      </c>
      <c r="G141" s="56" t="s">
        <v>2237</v>
      </c>
    </row>
    <row r="142" spans="1:7">
      <c r="A142" s="56" t="s">
        <v>2384</v>
      </c>
      <c r="B142" s="56" t="s">
        <v>2385</v>
      </c>
      <c r="C142" s="56" t="s">
        <v>2386</v>
      </c>
      <c r="D142" s="56" t="s">
        <v>2232</v>
      </c>
      <c r="E142" s="74" t="s">
        <v>108</v>
      </c>
      <c r="F142" s="56" t="s">
        <v>1871</v>
      </c>
      <c r="G142" s="56" t="s">
        <v>2387</v>
      </c>
    </row>
    <row r="143" spans="1:7">
      <c r="A143" s="56" t="s">
        <v>2384</v>
      </c>
      <c r="B143" s="56" t="s">
        <v>2385</v>
      </c>
      <c r="C143" s="56" t="s">
        <v>2386</v>
      </c>
      <c r="D143" s="56" t="s">
        <v>2234</v>
      </c>
      <c r="E143" s="74" t="s">
        <v>2386</v>
      </c>
      <c r="F143" s="56" t="s">
        <v>1899</v>
      </c>
      <c r="G143" s="56" t="s">
        <v>2387</v>
      </c>
    </row>
    <row r="144" spans="1:7" ht="17.100000000000001">
      <c r="A144" s="75" t="s">
        <v>2388</v>
      </c>
      <c r="B144" s="75"/>
      <c r="C144" s="75"/>
      <c r="D144" s="75"/>
      <c r="E144" s="76"/>
      <c r="F144" s="75"/>
      <c r="G144" s="75"/>
    </row>
    <row r="145" spans="1:7">
      <c r="A145" s="56" t="s">
        <v>2389</v>
      </c>
      <c r="B145" s="56" t="s">
        <v>2241</v>
      </c>
      <c r="C145" s="56" t="s">
        <v>2390</v>
      </c>
      <c r="D145" s="56" t="s">
        <v>2391</v>
      </c>
      <c r="E145" s="74" t="s">
        <v>2392</v>
      </c>
      <c r="F145" s="56" t="s">
        <v>1935</v>
      </c>
      <c r="G145" s="56" t="s">
        <v>2393</v>
      </c>
    </row>
    <row r="146" spans="1:7">
      <c r="A146" s="56" t="s">
        <v>2230</v>
      </c>
      <c r="B146" s="56" t="s">
        <v>2231</v>
      </c>
      <c r="C146" s="56" t="s">
        <v>1562</v>
      </c>
      <c r="D146" s="56" t="s">
        <v>2391</v>
      </c>
      <c r="E146" s="74" t="s">
        <v>108</v>
      </c>
      <c r="F146" s="56" t="s">
        <v>1927</v>
      </c>
      <c r="G146" s="56" t="s">
        <v>2233</v>
      </c>
    </row>
    <row r="147" spans="1:7">
      <c r="A147" s="56" t="s">
        <v>2238</v>
      </c>
      <c r="B147" s="56"/>
      <c r="C147" s="56" t="s">
        <v>2239</v>
      </c>
      <c r="D147" s="56" t="s">
        <v>2391</v>
      </c>
      <c r="E147" s="74" t="s">
        <v>108</v>
      </c>
      <c r="F147" s="56" t="s">
        <v>1927</v>
      </c>
      <c r="G147" s="56" t="s">
        <v>2237</v>
      </c>
    </row>
    <row r="148" spans="1:7">
      <c r="A148" s="56" t="s">
        <v>2240</v>
      </c>
      <c r="B148" s="56" t="s">
        <v>2241</v>
      </c>
      <c r="C148" s="56" t="s">
        <v>108</v>
      </c>
      <c r="D148" s="56" t="s">
        <v>2391</v>
      </c>
      <c r="E148" s="74" t="s">
        <v>108</v>
      </c>
      <c r="F148" s="56" t="s">
        <v>1927</v>
      </c>
      <c r="G148" s="56" t="s">
        <v>2237</v>
      </c>
    </row>
    <row r="149" spans="1:7">
      <c r="A149" s="56" t="s">
        <v>2242</v>
      </c>
      <c r="B149" s="56" t="s">
        <v>2243</v>
      </c>
      <c r="C149" s="56" t="s">
        <v>108</v>
      </c>
      <c r="D149" s="56" t="s">
        <v>2391</v>
      </c>
      <c r="E149" s="74" t="s">
        <v>108</v>
      </c>
      <c r="F149" s="56" t="s">
        <v>1927</v>
      </c>
      <c r="G149" s="56" t="s">
        <v>2244</v>
      </c>
    </row>
    <row r="150" spans="1:7">
      <c r="A150" s="56" t="s">
        <v>2245</v>
      </c>
      <c r="B150" s="56"/>
      <c r="C150" s="56" t="s">
        <v>108</v>
      </c>
      <c r="D150" s="56" t="s">
        <v>2391</v>
      </c>
      <c r="E150" s="74" t="s">
        <v>108</v>
      </c>
      <c r="F150" s="56" t="s">
        <v>1927</v>
      </c>
      <c r="G150" s="56" t="s">
        <v>2237</v>
      </c>
    </row>
    <row r="151" spans="1:7" ht="17.100000000000001">
      <c r="A151" s="75" t="s">
        <v>2394</v>
      </c>
      <c r="B151" s="75"/>
      <c r="C151" s="75"/>
      <c r="D151" s="75"/>
      <c r="E151" s="76"/>
      <c r="F151" s="75"/>
      <c r="G151" s="75"/>
    </row>
    <row r="152" spans="1:7">
      <c r="A152" s="56" t="s">
        <v>2247</v>
      </c>
      <c r="B152" s="56" t="s">
        <v>2248</v>
      </c>
      <c r="C152" s="56" t="s">
        <v>108</v>
      </c>
      <c r="D152" s="56" t="s">
        <v>2391</v>
      </c>
      <c r="E152" s="74" t="s">
        <v>108</v>
      </c>
      <c r="F152" s="56" t="s">
        <v>1927</v>
      </c>
      <c r="G152" s="56" t="s">
        <v>2237</v>
      </c>
    </row>
    <row r="153" spans="1:7">
      <c r="A153" s="56" t="s">
        <v>2249</v>
      </c>
      <c r="B153" s="56" t="s">
        <v>2250</v>
      </c>
      <c r="C153" s="56" t="s">
        <v>108</v>
      </c>
      <c r="D153" s="56" t="s">
        <v>2391</v>
      </c>
      <c r="E153" s="74" t="s">
        <v>108</v>
      </c>
      <c r="F153" s="56" t="s">
        <v>1927</v>
      </c>
      <c r="G153" s="56" t="s">
        <v>2251</v>
      </c>
    </row>
    <row r="154" spans="1:7">
      <c r="A154" s="56" t="s">
        <v>2252</v>
      </c>
      <c r="B154" s="56" t="s">
        <v>2250</v>
      </c>
      <c r="C154" s="56" t="s">
        <v>108</v>
      </c>
      <c r="D154" s="56" t="s">
        <v>2391</v>
      </c>
      <c r="E154" s="74" t="s">
        <v>108</v>
      </c>
      <c r="F154" s="56" t="s">
        <v>1927</v>
      </c>
      <c r="G154" s="56" t="s">
        <v>2237</v>
      </c>
    </row>
    <row r="155" spans="1:7">
      <c r="A155" s="56" t="s">
        <v>2253</v>
      </c>
      <c r="B155" s="56" t="s">
        <v>2236</v>
      </c>
      <c r="C155" s="56" t="s">
        <v>2254</v>
      </c>
      <c r="D155" s="56" t="s">
        <v>2391</v>
      </c>
      <c r="E155" s="74" t="s">
        <v>2395</v>
      </c>
      <c r="F155" s="56" t="s">
        <v>1935</v>
      </c>
      <c r="G155" s="56" t="s">
        <v>2237</v>
      </c>
    </row>
    <row r="156" spans="1:7">
      <c r="A156" s="56" t="s">
        <v>2256</v>
      </c>
      <c r="B156" s="56" t="s">
        <v>2257</v>
      </c>
      <c r="C156" s="56" t="s">
        <v>108</v>
      </c>
      <c r="D156" s="56" t="s">
        <v>2391</v>
      </c>
      <c r="E156" s="74" t="s">
        <v>108</v>
      </c>
      <c r="F156" s="56" t="s">
        <v>1927</v>
      </c>
      <c r="G156" s="56" t="s">
        <v>2258</v>
      </c>
    </row>
    <row r="157" spans="1:7" ht="17.100000000000001">
      <c r="A157" s="75" t="s">
        <v>2396</v>
      </c>
      <c r="B157" s="75"/>
      <c r="C157" s="75"/>
      <c r="D157" s="75"/>
      <c r="E157" s="76"/>
      <c r="F157" s="75"/>
      <c r="G157" s="75"/>
    </row>
    <row r="158" spans="1:7">
      <c r="A158" s="56" t="s">
        <v>2260</v>
      </c>
      <c r="B158" s="56" t="s">
        <v>2261</v>
      </c>
      <c r="C158" s="56" t="s">
        <v>108</v>
      </c>
      <c r="D158" s="56" t="s">
        <v>2391</v>
      </c>
      <c r="E158" s="74" t="s">
        <v>108</v>
      </c>
      <c r="F158" s="56" t="s">
        <v>1927</v>
      </c>
      <c r="G158" s="56" t="s">
        <v>2237</v>
      </c>
    </row>
    <row r="159" spans="1:7">
      <c r="A159" s="56" t="s">
        <v>2262</v>
      </c>
      <c r="B159" s="56" t="s">
        <v>2261</v>
      </c>
      <c r="C159" s="56" t="s">
        <v>2263</v>
      </c>
      <c r="D159" s="56" t="s">
        <v>2391</v>
      </c>
      <c r="E159" s="74" t="s">
        <v>108</v>
      </c>
      <c r="F159" s="56" t="s">
        <v>1927</v>
      </c>
      <c r="G159" s="56" t="s">
        <v>2237</v>
      </c>
    </row>
    <row r="160" spans="1:7">
      <c r="A160" s="56" t="s">
        <v>2264</v>
      </c>
      <c r="B160" s="56" t="s">
        <v>2261</v>
      </c>
      <c r="C160" s="56" t="s">
        <v>2265</v>
      </c>
      <c r="D160" s="56" t="s">
        <v>2391</v>
      </c>
      <c r="E160" s="74" t="s">
        <v>108</v>
      </c>
      <c r="F160" s="56" t="s">
        <v>1927</v>
      </c>
      <c r="G160" s="56" t="s">
        <v>2266</v>
      </c>
    </row>
    <row r="161" spans="1:7">
      <c r="A161" s="56" t="s">
        <v>2267</v>
      </c>
      <c r="B161" s="56" t="s">
        <v>2261</v>
      </c>
      <c r="C161" s="56" t="s">
        <v>108</v>
      </c>
      <c r="D161" s="56" t="s">
        <v>2391</v>
      </c>
      <c r="E161" s="74" t="s">
        <v>108</v>
      </c>
      <c r="F161" s="56" t="s">
        <v>1927</v>
      </c>
      <c r="G161" s="56" t="s">
        <v>2237</v>
      </c>
    </row>
    <row r="162" spans="1:7" ht="17.100000000000001">
      <c r="A162" s="75" t="s">
        <v>2397</v>
      </c>
      <c r="B162" s="75"/>
      <c r="C162" s="75"/>
      <c r="D162" s="75"/>
      <c r="E162" s="76"/>
      <c r="F162" s="75"/>
      <c r="G162" s="75"/>
    </row>
    <row r="163" spans="1:7">
      <c r="A163" s="56" t="s">
        <v>2269</v>
      </c>
      <c r="B163" s="56" t="s">
        <v>2270</v>
      </c>
      <c r="C163" s="56" t="s">
        <v>2271</v>
      </c>
      <c r="D163" s="56" t="s">
        <v>2391</v>
      </c>
      <c r="E163" s="74" t="s">
        <v>108</v>
      </c>
      <c r="F163" s="56" t="s">
        <v>1927</v>
      </c>
      <c r="G163" s="56" t="s">
        <v>2237</v>
      </c>
    </row>
    <row r="164" spans="1:7">
      <c r="A164" s="56" t="s">
        <v>2272</v>
      </c>
      <c r="B164" s="56" t="s">
        <v>2273</v>
      </c>
      <c r="C164" s="56" t="s">
        <v>108</v>
      </c>
      <c r="D164" s="56" t="s">
        <v>2391</v>
      </c>
      <c r="E164" s="74" t="s">
        <v>108</v>
      </c>
      <c r="F164" s="56" t="s">
        <v>1927</v>
      </c>
      <c r="G164" s="56" t="s">
        <v>2237</v>
      </c>
    </row>
    <row r="165" spans="1:7">
      <c r="A165" s="56" t="s">
        <v>2274</v>
      </c>
      <c r="B165" s="56" t="s">
        <v>2270</v>
      </c>
      <c r="C165" s="56" t="s">
        <v>2275</v>
      </c>
      <c r="D165" s="56" t="s">
        <v>2391</v>
      </c>
      <c r="E165" s="74" t="s">
        <v>108</v>
      </c>
      <c r="F165" s="56" t="s">
        <v>1927</v>
      </c>
      <c r="G165" s="56" t="s">
        <v>2237</v>
      </c>
    </row>
    <row r="166" spans="1:7">
      <c r="A166" s="56" t="s">
        <v>2276</v>
      </c>
      <c r="B166" s="56" t="s">
        <v>2273</v>
      </c>
      <c r="C166" s="56" t="s">
        <v>2277</v>
      </c>
      <c r="D166" s="56" t="s">
        <v>2391</v>
      </c>
      <c r="E166" s="74" t="s">
        <v>108</v>
      </c>
      <c r="F166" s="56" t="s">
        <v>1927</v>
      </c>
      <c r="G166" s="56" t="s">
        <v>2278</v>
      </c>
    </row>
    <row r="167" spans="1:7">
      <c r="A167" s="56" t="s">
        <v>2279</v>
      </c>
      <c r="B167" s="56" t="s">
        <v>2280</v>
      </c>
      <c r="C167" s="56" t="s">
        <v>108</v>
      </c>
      <c r="D167" s="56" t="s">
        <v>2391</v>
      </c>
      <c r="E167" s="74" t="s">
        <v>108</v>
      </c>
      <c r="F167" s="56" t="s">
        <v>1927</v>
      </c>
      <c r="G167" s="56" t="s">
        <v>2281</v>
      </c>
    </row>
    <row r="168" spans="1:7">
      <c r="A168" s="56" t="s">
        <v>2282</v>
      </c>
      <c r="B168" s="56" t="s">
        <v>2280</v>
      </c>
      <c r="C168" s="56" t="s">
        <v>108</v>
      </c>
      <c r="D168" s="56" t="s">
        <v>2391</v>
      </c>
      <c r="E168" s="74" t="s">
        <v>108</v>
      </c>
      <c r="F168" s="56" t="s">
        <v>1927</v>
      </c>
      <c r="G168" s="56" t="s">
        <v>2237</v>
      </c>
    </row>
    <row r="169" spans="1:7" ht="17.100000000000001">
      <c r="A169" s="75" t="s">
        <v>2398</v>
      </c>
      <c r="B169" s="75"/>
      <c r="C169" s="75"/>
      <c r="D169" s="75"/>
      <c r="E169" s="76"/>
      <c r="F169" s="75"/>
      <c r="G169" s="75"/>
    </row>
    <row r="170" spans="1:7">
      <c r="A170" s="56" t="s">
        <v>2284</v>
      </c>
      <c r="B170" s="56" t="s">
        <v>2285</v>
      </c>
      <c r="C170" s="56" t="s">
        <v>108</v>
      </c>
      <c r="D170" s="56" t="s">
        <v>2391</v>
      </c>
      <c r="E170" s="74" t="s">
        <v>108</v>
      </c>
      <c r="F170" s="56" t="s">
        <v>1927</v>
      </c>
      <c r="G170" s="56" t="s">
        <v>2286</v>
      </c>
    </row>
    <row r="171" spans="1:7">
      <c r="A171" s="56" t="s">
        <v>2287</v>
      </c>
      <c r="B171" s="56" t="s">
        <v>2248</v>
      </c>
      <c r="C171" s="56" t="s">
        <v>2288</v>
      </c>
      <c r="D171" s="56" t="s">
        <v>2391</v>
      </c>
      <c r="E171" s="74" t="s">
        <v>2395</v>
      </c>
      <c r="F171" s="56" t="s">
        <v>1935</v>
      </c>
      <c r="G171" s="56" t="s">
        <v>2237</v>
      </c>
    </row>
    <row r="172" spans="1:7">
      <c r="A172" s="56" t="s">
        <v>2289</v>
      </c>
      <c r="B172" s="56" t="s">
        <v>2248</v>
      </c>
      <c r="C172" s="56" t="s">
        <v>2254</v>
      </c>
      <c r="D172" s="56" t="s">
        <v>2391</v>
      </c>
      <c r="E172" s="74" t="s">
        <v>2395</v>
      </c>
      <c r="F172" s="56" t="s">
        <v>1935</v>
      </c>
      <c r="G172" s="56" t="s">
        <v>2237</v>
      </c>
    </row>
    <row r="173" spans="1:7">
      <c r="A173" s="56" t="s">
        <v>2290</v>
      </c>
      <c r="B173" s="56" t="s">
        <v>2248</v>
      </c>
      <c r="C173" s="56" t="s">
        <v>2254</v>
      </c>
      <c r="D173" s="56" t="s">
        <v>2391</v>
      </c>
      <c r="E173" s="74" t="s">
        <v>2395</v>
      </c>
      <c r="F173" s="56" t="s">
        <v>1935</v>
      </c>
      <c r="G173" s="56" t="s">
        <v>2237</v>
      </c>
    </row>
    <row r="174" spans="1:7">
      <c r="A174" s="56" t="s">
        <v>2291</v>
      </c>
      <c r="B174" s="56" t="s">
        <v>2292</v>
      </c>
      <c r="C174" s="56" t="s">
        <v>2254</v>
      </c>
      <c r="D174" s="56" t="s">
        <v>2391</v>
      </c>
      <c r="E174" s="74" t="s">
        <v>2395</v>
      </c>
      <c r="F174" s="56" t="s">
        <v>1935</v>
      </c>
      <c r="G174" s="56" t="s">
        <v>2237</v>
      </c>
    </row>
    <row r="175" spans="1:7">
      <c r="A175" s="56" t="s">
        <v>2293</v>
      </c>
      <c r="B175" s="56"/>
      <c r="C175" s="56" t="s">
        <v>2254</v>
      </c>
      <c r="D175" s="56" t="s">
        <v>2391</v>
      </c>
      <c r="E175" s="74" t="s">
        <v>2395</v>
      </c>
      <c r="F175" s="56" t="s">
        <v>1935</v>
      </c>
      <c r="G175" s="56" t="s">
        <v>2237</v>
      </c>
    </row>
    <row r="176" spans="1:7">
      <c r="A176" s="56" t="s">
        <v>2294</v>
      </c>
      <c r="B176" s="56"/>
      <c r="C176" s="56" t="s">
        <v>2254</v>
      </c>
      <c r="D176" s="56" t="s">
        <v>2391</v>
      </c>
      <c r="E176" s="74" t="s">
        <v>2395</v>
      </c>
      <c r="F176" s="56" t="s">
        <v>1935</v>
      </c>
      <c r="G176" s="56" t="s">
        <v>2237</v>
      </c>
    </row>
    <row r="177" spans="1:7">
      <c r="A177" s="56" t="s">
        <v>2295</v>
      </c>
      <c r="B177" s="56"/>
      <c r="C177" s="56" t="s">
        <v>2254</v>
      </c>
      <c r="D177" s="56" t="s">
        <v>2391</v>
      </c>
      <c r="E177" s="74" t="s">
        <v>2395</v>
      </c>
      <c r="F177" s="56" t="s">
        <v>1935</v>
      </c>
      <c r="G177" s="56" t="s">
        <v>2237</v>
      </c>
    </row>
    <row r="178" spans="1:7" ht="17.100000000000001">
      <c r="A178" s="75" t="s">
        <v>2399</v>
      </c>
      <c r="B178" s="75"/>
      <c r="C178" s="75"/>
      <c r="D178" s="75"/>
      <c r="E178" s="76"/>
      <c r="F178" s="75"/>
      <c r="G178" s="75"/>
    </row>
    <row r="179" spans="1:7">
      <c r="A179" s="56" t="s">
        <v>2297</v>
      </c>
      <c r="B179" s="56" t="s">
        <v>2298</v>
      </c>
      <c r="C179" s="56" t="s">
        <v>108</v>
      </c>
      <c r="D179" s="56" t="s">
        <v>2391</v>
      </c>
      <c r="E179" s="74" t="s">
        <v>108</v>
      </c>
      <c r="F179" s="56" t="s">
        <v>1927</v>
      </c>
      <c r="G179" s="56" t="s">
        <v>2237</v>
      </c>
    </row>
    <row r="180" spans="1:7">
      <c r="A180" s="56" t="s">
        <v>2299</v>
      </c>
      <c r="B180" s="56" t="s">
        <v>2298</v>
      </c>
      <c r="C180" s="56" t="s">
        <v>2300</v>
      </c>
      <c r="D180" s="56" t="s">
        <v>2391</v>
      </c>
      <c r="E180" s="74" t="s">
        <v>108</v>
      </c>
      <c r="F180" s="56" t="s">
        <v>1927</v>
      </c>
      <c r="G180" s="56" t="s">
        <v>2301</v>
      </c>
    </row>
    <row r="181" spans="1:7">
      <c r="A181" s="56" t="s">
        <v>2302</v>
      </c>
      <c r="B181" s="56"/>
      <c r="C181" s="56" t="s">
        <v>2303</v>
      </c>
      <c r="D181" s="56" t="s">
        <v>2391</v>
      </c>
      <c r="E181" s="74" t="s">
        <v>108</v>
      </c>
      <c r="F181" s="56" t="s">
        <v>1927</v>
      </c>
      <c r="G181" s="56" t="s">
        <v>2237</v>
      </c>
    </row>
    <row r="182" spans="1:7">
      <c r="A182" s="56" t="s">
        <v>2304</v>
      </c>
      <c r="B182" s="56"/>
      <c r="C182" s="56" t="s">
        <v>2254</v>
      </c>
      <c r="D182" s="56" t="s">
        <v>2391</v>
      </c>
      <c r="E182" s="74" t="s">
        <v>2395</v>
      </c>
      <c r="F182" s="56" t="s">
        <v>1935</v>
      </c>
      <c r="G182" s="56" t="s">
        <v>2237</v>
      </c>
    </row>
    <row r="183" spans="1:7">
      <c r="A183" s="56" t="s">
        <v>2305</v>
      </c>
      <c r="B183" s="56"/>
      <c r="C183" s="56" t="s">
        <v>2254</v>
      </c>
      <c r="D183" s="56" t="s">
        <v>2391</v>
      </c>
      <c r="E183" s="74" t="s">
        <v>2395</v>
      </c>
      <c r="F183" s="56" t="s">
        <v>1935</v>
      </c>
      <c r="G183" s="56" t="s">
        <v>2237</v>
      </c>
    </row>
    <row r="184" spans="1:7">
      <c r="A184" s="56" t="s">
        <v>2306</v>
      </c>
      <c r="B184" s="56" t="s">
        <v>2298</v>
      </c>
      <c r="C184" s="56" t="s">
        <v>2307</v>
      </c>
      <c r="D184" s="56" t="s">
        <v>2391</v>
      </c>
      <c r="E184" s="74" t="s">
        <v>2307</v>
      </c>
      <c r="F184" s="56" t="s">
        <v>1927</v>
      </c>
      <c r="G184" s="56" t="s">
        <v>2237</v>
      </c>
    </row>
    <row r="185" spans="1:7">
      <c r="A185" s="56" t="s">
        <v>2308</v>
      </c>
      <c r="B185" s="56" t="s">
        <v>2309</v>
      </c>
      <c r="C185" s="56" t="s">
        <v>108</v>
      </c>
      <c r="D185" s="56" t="s">
        <v>2391</v>
      </c>
      <c r="E185" s="74" t="s">
        <v>108</v>
      </c>
      <c r="F185" s="56" t="s">
        <v>1927</v>
      </c>
      <c r="G185" s="56" t="s">
        <v>2237</v>
      </c>
    </row>
    <row r="186" spans="1:7" ht="17.100000000000001">
      <c r="A186" s="75" t="s">
        <v>2400</v>
      </c>
      <c r="B186" s="75"/>
      <c r="C186" s="75"/>
      <c r="D186" s="75"/>
      <c r="E186" s="76"/>
      <c r="F186" s="75"/>
      <c r="G186" s="75"/>
    </row>
    <row r="187" spans="1:7">
      <c r="A187" s="56" t="s">
        <v>2311</v>
      </c>
      <c r="B187" s="56"/>
      <c r="C187" s="56" t="s">
        <v>2307</v>
      </c>
      <c r="D187" s="56" t="s">
        <v>2391</v>
      </c>
      <c r="E187" s="74" t="s">
        <v>2307</v>
      </c>
      <c r="F187" s="56" t="s">
        <v>1927</v>
      </c>
      <c r="G187" s="56" t="s">
        <v>2237</v>
      </c>
    </row>
    <row r="188" spans="1:7">
      <c r="A188" s="56" t="s">
        <v>2312</v>
      </c>
      <c r="B188" s="56"/>
      <c r="C188" s="56" t="s">
        <v>2313</v>
      </c>
      <c r="D188" s="56" t="s">
        <v>2391</v>
      </c>
      <c r="E188" s="74" t="s">
        <v>2307</v>
      </c>
      <c r="F188" s="56" t="s">
        <v>1927</v>
      </c>
      <c r="G188" s="56" t="s">
        <v>2237</v>
      </c>
    </row>
    <row r="189" spans="1:7">
      <c r="A189" s="56" t="s">
        <v>2314</v>
      </c>
      <c r="B189" s="56" t="s">
        <v>2298</v>
      </c>
      <c r="C189" s="56" t="s">
        <v>108</v>
      </c>
      <c r="D189" s="56" t="s">
        <v>2391</v>
      </c>
      <c r="E189" s="74" t="s">
        <v>108</v>
      </c>
      <c r="F189" s="56" t="s">
        <v>1927</v>
      </c>
      <c r="G189" s="56" t="s">
        <v>2237</v>
      </c>
    </row>
    <row r="190" spans="1:7">
      <c r="A190" s="56" t="s">
        <v>2315</v>
      </c>
      <c r="B190" s="56" t="s">
        <v>2298</v>
      </c>
      <c r="C190" s="56" t="s">
        <v>108</v>
      </c>
      <c r="D190" s="56" t="s">
        <v>2391</v>
      </c>
      <c r="E190" s="74" t="s">
        <v>108</v>
      </c>
      <c r="F190" s="56" t="s">
        <v>1927</v>
      </c>
      <c r="G190" s="56" t="s">
        <v>2237</v>
      </c>
    </row>
    <row r="191" spans="1:7">
      <c r="A191" s="56" t="s">
        <v>2316</v>
      </c>
      <c r="B191" s="56" t="s">
        <v>2292</v>
      </c>
      <c r="C191" s="56" t="s">
        <v>108</v>
      </c>
      <c r="D191" s="56" t="s">
        <v>2391</v>
      </c>
      <c r="E191" s="74" t="s">
        <v>108</v>
      </c>
      <c r="F191" s="56" t="s">
        <v>1927</v>
      </c>
      <c r="G191" s="56" t="s">
        <v>2237</v>
      </c>
    </row>
    <row r="192" spans="1:7">
      <c r="A192" s="56" t="s">
        <v>2317</v>
      </c>
      <c r="B192" s="56" t="s">
        <v>2318</v>
      </c>
      <c r="C192" s="56" t="s">
        <v>2307</v>
      </c>
      <c r="D192" s="56" t="s">
        <v>2391</v>
      </c>
      <c r="E192" s="74" t="s">
        <v>2307</v>
      </c>
      <c r="F192" s="56" t="s">
        <v>1927</v>
      </c>
      <c r="G192" s="56" t="s">
        <v>2237</v>
      </c>
    </row>
    <row r="193" spans="1:7">
      <c r="A193" s="56" t="s">
        <v>2319</v>
      </c>
      <c r="B193" s="56" t="s">
        <v>2318</v>
      </c>
      <c r="C193" s="56" t="s">
        <v>2307</v>
      </c>
      <c r="D193" s="56" t="s">
        <v>2391</v>
      </c>
      <c r="E193" s="74" t="s">
        <v>2307</v>
      </c>
      <c r="F193" s="56" t="s">
        <v>1927</v>
      </c>
      <c r="G193" s="56" t="s">
        <v>2237</v>
      </c>
    </row>
    <row r="194" spans="1:7">
      <c r="A194" s="56" t="s">
        <v>2320</v>
      </c>
      <c r="B194" s="56"/>
      <c r="C194" s="56" t="s">
        <v>2254</v>
      </c>
      <c r="D194" s="56" t="s">
        <v>2391</v>
      </c>
      <c r="E194" s="74" t="s">
        <v>2395</v>
      </c>
      <c r="F194" s="56" t="s">
        <v>1935</v>
      </c>
      <c r="G194" s="56" t="s">
        <v>2237</v>
      </c>
    </row>
    <row r="195" spans="1:7">
      <c r="A195" s="56" t="s">
        <v>2321</v>
      </c>
      <c r="B195" s="56" t="s">
        <v>2318</v>
      </c>
      <c r="C195" s="56" t="s">
        <v>108</v>
      </c>
      <c r="D195" s="56" t="s">
        <v>2391</v>
      </c>
      <c r="E195" s="74" t="s">
        <v>108</v>
      </c>
      <c r="F195" s="56" t="s">
        <v>1927</v>
      </c>
      <c r="G195" s="56" t="s">
        <v>2322</v>
      </c>
    </row>
    <row r="196" spans="1:7" ht="17.100000000000001">
      <c r="A196" s="75" t="s">
        <v>2401</v>
      </c>
      <c r="B196" s="75"/>
      <c r="C196" s="75"/>
      <c r="D196" s="75"/>
      <c r="E196" s="76"/>
      <c r="F196" s="75"/>
      <c r="G196" s="75"/>
    </row>
    <row r="197" spans="1:7">
      <c r="A197" s="56" t="s">
        <v>2324</v>
      </c>
      <c r="B197" s="56" t="s">
        <v>2325</v>
      </c>
      <c r="C197" s="56" t="s">
        <v>108</v>
      </c>
      <c r="D197" s="56" t="s">
        <v>2391</v>
      </c>
      <c r="E197" s="74" t="s">
        <v>108</v>
      </c>
      <c r="F197" s="56" t="s">
        <v>1927</v>
      </c>
      <c r="G197" s="56" t="s">
        <v>2237</v>
      </c>
    </row>
    <row r="198" spans="1:7">
      <c r="A198" s="56" t="s">
        <v>2326</v>
      </c>
      <c r="B198" s="56" t="s">
        <v>2327</v>
      </c>
      <c r="C198" s="56" t="s">
        <v>108</v>
      </c>
      <c r="D198" s="56" t="s">
        <v>2391</v>
      </c>
      <c r="E198" s="74" t="s">
        <v>108</v>
      </c>
      <c r="F198" s="56" t="s">
        <v>1927</v>
      </c>
      <c r="G198" s="56" t="s">
        <v>2237</v>
      </c>
    </row>
    <row r="199" spans="1:7">
      <c r="A199" s="56" t="s">
        <v>2328</v>
      </c>
      <c r="B199" s="56" t="s">
        <v>2327</v>
      </c>
      <c r="C199" s="56" t="s">
        <v>108</v>
      </c>
      <c r="D199" s="56" t="s">
        <v>2391</v>
      </c>
      <c r="E199" s="74" t="s">
        <v>108</v>
      </c>
      <c r="F199" s="56" t="s">
        <v>1927</v>
      </c>
      <c r="G199" s="56" t="s">
        <v>2237</v>
      </c>
    </row>
    <row r="200" spans="1:7" ht="17.100000000000001">
      <c r="A200" s="75" t="s">
        <v>2402</v>
      </c>
      <c r="B200" s="75"/>
      <c r="C200" s="75"/>
      <c r="D200" s="75"/>
      <c r="E200" s="76"/>
      <c r="F200" s="75"/>
      <c r="G200" s="75"/>
    </row>
    <row r="201" spans="1:7">
      <c r="A201" s="56" t="s">
        <v>2403</v>
      </c>
      <c r="B201" s="56" t="s">
        <v>2331</v>
      </c>
      <c r="C201" s="56" t="s">
        <v>2390</v>
      </c>
      <c r="D201" s="56" t="s">
        <v>2391</v>
      </c>
      <c r="E201" s="74" t="s">
        <v>2392</v>
      </c>
      <c r="F201" s="56" t="s">
        <v>1935</v>
      </c>
      <c r="G201" s="56" t="s">
        <v>2404</v>
      </c>
    </row>
    <row r="202" spans="1:7">
      <c r="A202" s="56" t="s">
        <v>2405</v>
      </c>
      <c r="B202" s="56" t="s">
        <v>2406</v>
      </c>
      <c r="C202" s="56" t="s">
        <v>2390</v>
      </c>
      <c r="D202" s="56" t="s">
        <v>2391</v>
      </c>
      <c r="E202" s="74" t="s">
        <v>2392</v>
      </c>
      <c r="F202" s="56" t="s">
        <v>1935</v>
      </c>
      <c r="G202" s="56" t="s">
        <v>2407</v>
      </c>
    </row>
    <row r="203" spans="1:7">
      <c r="A203" s="56" t="s">
        <v>2330</v>
      </c>
      <c r="B203" s="56" t="s">
        <v>2331</v>
      </c>
      <c r="C203" s="56" t="s">
        <v>2307</v>
      </c>
      <c r="D203" s="56" t="s">
        <v>2391</v>
      </c>
      <c r="E203" s="74" t="s">
        <v>2307</v>
      </c>
      <c r="F203" s="56" t="s">
        <v>1927</v>
      </c>
      <c r="G203" s="56" t="s">
        <v>2332</v>
      </c>
    </row>
    <row r="204" spans="1:7">
      <c r="A204" s="56" t="s">
        <v>2333</v>
      </c>
      <c r="B204" s="56" t="s">
        <v>2334</v>
      </c>
      <c r="C204" s="56" t="s">
        <v>108</v>
      </c>
      <c r="D204" s="56" t="s">
        <v>2391</v>
      </c>
      <c r="E204" s="74" t="s">
        <v>108</v>
      </c>
      <c r="F204" s="56" t="s">
        <v>1927</v>
      </c>
      <c r="G204" s="56" t="s">
        <v>2335</v>
      </c>
    </row>
    <row r="205" spans="1:7">
      <c r="A205" s="56" t="s">
        <v>2336</v>
      </c>
      <c r="B205" s="56" t="s">
        <v>2337</v>
      </c>
      <c r="C205" s="56" t="s">
        <v>108</v>
      </c>
      <c r="D205" s="56" t="s">
        <v>2391</v>
      </c>
      <c r="E205" s="74" t="s">
        <v>108</v>
      </c>
      <c r="F205" s="56" t="s">
        <v>1927</v>
      </c>
      <c r="G205" s="56" t="s">
        <v>2338</v>
      </c>
    </row>
    <row r="206" spans="1:7">
      <c r="A206" s="56" t="s">
        <v>2339</v>
      </c>
      <c r="B206" s="56" t="s">
        <v>2340</v>
      </c>
      <c r="C206" s="56" t="s">
        <v>108</v>
      </c>
      <c r="D206" s="56" t="s">
        <v>2391</v>
      </c>
      <c r="E206" s="74" t="s">
        <v>108</v>
      </c>
      <c r="F206" s="56" t="s">
        <v>1927</v>
      </c>
      <c r="G206" s="56" t="s">
        <v>2341</v>
      </c>
    </row>
    <row r="207" spans="1:7">
      <c r="A207" s="56" t="s">
        <v>2342</v>
      </c>
      <c r="B207" s="56"/>
      <c r="C207" s="56" t="s">
        <v>2254</v>
      </c>
      <c r="D207" s="56" t="s">
        <v>2391</v>
      </c>
      <c r="E207" s="74" t="s">
        <v>2395</v>
      </c>
      <c r="F207" s="56" t="s">
        <v>1935</v>
      </c>
      <c r="G207" s="56" t="s">
        <v>2237</v>
      </c>
    </row>
    <row r="208" spans="1:7" ht="17.100000000000001">
      <c r="A208" s="75" t="s">
        <v>2408</v>
      </c>
      <c r="B208" s="75"/>
      <c r="C208" s="75"/>
      <c r="D208" s="75"/>
      <c r="E208" s="76"/>
      <c r="F208" s="75"/>
      <c r="G208" s="75"/>
    </row>
    <row r="209" spans="1:7">
      <c r="A209" s="56" t="s">
        <v>2344</v>
      </c>
      <c r="B209" s="56" t="s">
        <v>2334</v>
      </c>
      <c r="C209" s="56" t="s">
        <v>108</v>
      </c>
      <c r="D209" s="56" t="s">
        <v>2391</v>
      </c>
      <c r="E209" s="74" t="s">
        <v>108</v>
      </c>
      <c r="F209" s="56" t="s">
        <v>1927</v>
      </c>
      <c r="G209" s="56" t="s">
        <v>2345</v>
      </c>
    </row>
    <row r="210" spans="1:7">
      <c r="A210" s="56" t="s">
        <v>2409</v>
      </c>
      <c r="B210" s="56" t="s">
        <v>2236</v>
      </c>
      <c r="C210" s="56" t="s">
        <v>2390</v>
      </c>
      <c r="D210" s="56" t="s">
        <v>2391</v>
      </c>
      <c r="E210" s="74" t="s">
        <v>2392</v>
      </c>
      <c r="F210" s="56" t="s">
        <v>1935</v>
      </c>
      <c r="G210" s="56" t="s">
        <v>2237</v>
      </c>
    </row>
    <row r="211" spans="1:7">
      <c r="A211" s="56" t="s">
        <v>2410</v>
      </c>
      <c r="B211" s="56" t="s">
        <v>2236</v>
      </c>
      <c r="C211" s="56" t="s">
        <v>2411</v>
      </c>
      <c r="D211" s="56" t="s">
        <v>2391</v>
      </c>
      <c r="E211" s="74" t="s">
        <v>2412</v>
      </c>
      <c r="F211" s="56" t="s">
        <v>1935</v>
      </c>
      <c r="G211" s="56" t="s">
        <v>2413</v>
      </c>
    </row>
    <row r="212" spans="1:7">
      <c r="A212" s="56" t="s">
        <v>2346</v>
      </c>
      <c r="B212" s="56" t="s">
        <v>2347</v>
      </c>
      <c r="C212" s="56" t="s">
        <v>108</v>
      </c>
      <c r="D212" s="56" t="s">
        <v>2391</v>
      </c>
      <c r="E212" s="74" t="s">
        <v>108</v>
      </c>
      <c r="F212" s="56" t="s">
        <v>1927</v>
      </c>
      <c r="G212" s="56" t="s">
        <v>2348</v>
      </c>
    </row>
    <row r="213" spans="1:7">
      <c r="A213" s="56" t="s">
        <v>2349</v>
      </c>
      <c r="B213" s="56" t="s">
        <v>2350</v>
      </c>
      <c r="C213" s="56" t="s">
        <v>108</v>
      </c>
      <c r="D213" s="56" t="s">
        <v>2391</v>
      </c>
      <c r="E213" s="74" t="s">
        <v>108</v>
      </c>
      <c r="F213" s="56" t="s">
        <v>1927</v>
      </c>
      <c r="G213" s="56" t="s">
        <v>2351</v>
      </c>
    </row>
    <row r="214" spans="1:7">
      <c r="A214" s="56" t="s">
        <v>2352</v>
      </c>
      <c r="B214" s="56" t="s">
        <v>2353</v>
      </c>
      <c r="C214" s="56" t="s">
        <v>2307</v>
      </c>
      <c r="D214" s="56" t="s">
        <v>2391</v>
      </c>
      <c r="E214" s="74" t="s">
        <v>2307</v>
      </c>
      <c r="F214" s="56" t="s">
        <v>1927</v>
      </c>
      <c r="G214" s="56" t="s">
        <v>2237</v>
      </c>
    </row>
    <row r="215" spans="1:7">
      <c r="A215" s="56" t="s">
        <v>2354</v>
      </c>
      <c r="B215" s="56" t="s">
        <v>2353</v>
      </c>
      <c r="C215" s="56" t="s">
        <v>2355</v>
      </c>
      <c r="D215" s="56" t="s">
        <v>2391</v>
      </c>
      <c r="E215" s="74" t="s">
        <v>108</v>
      </c>
      <c r="F215" s="56" t="s">
        <v>1927</v>
      </c>
      <c r="G215" s="56" t="s">
        <v>2237</v>
      </c>
    </row>
    <row r="216" spans="1:7" ht="17.100000000000001">
      <c r="A216" s="75" t="s">
        <v>2414</v>
      </c>
      <c r="B216" s="75"/>
      <c r="C216" s="75"/>
      <c r="D216" s="75"/>
      <c r="E216" s="76"/>
      <c r="F216" s="75"/>
      <c r="G216" s="75"/>
    </row>
    <row r="217" spans="1:7">
      <c r="A217" s="56" t="s">
        <v>2357</v>
      </c>
      <c r="B217" s="56" t="s">
        <v>2358</v>
      </c>
      <c r="C217" s="56" t="s">
        <v>108</v>
      </c>
      <c r="D217" s="56" t="s">
        <v>2391</v>
      </c>
      <c r="E217" s="74" t="s">
        <v>108</v>
      </c>
      <c r="F217" s="56" t="s">
        <v>1927</v>
      </c>
      <c r="G217" s="56" t="s">
        <v>2237</v>
      </c>
    </row>
    <row r="218" spans="1:7">
      <c r="A218" s="56" t="s">
        <v>2359</v>
      </c>
      <c r="B218" s="56" t="s">
        <v>2358</v>
      </c>
      <c r="C218" s="56" t="s">
        <v>2307</v>
      </c>
      <c r="D218" s="56" t="s">
        <v>2391</v>
      </c>
      <c r="E218" s="74" t="s">
        <v>2307</v>
      </c>
      <c r="F218" s="56" t="s">
        <v>1927</v>
      </c>
      <c r="G218" s="56" t="s">
        <v>2360</v>
      </c>
    </row>
    <row r="219" spans="1:7">
      <c r="A219" s="56" t="s">
        <v>2366</v>
      </c>
      <c r="B219" s="56" t="s">
        <v>2362</v>
      </c>
      <c r="C219" s="56" t="s">
        <v>2265</v>
      </c>
      <c r="D219" s="56" t="s">
        <v>2391</v>
      </c>
      <c r="E219" s="74" t="s">
        <v>108</v>
      </c>
      <c r="F219" s="56" t="s">
        <v>1927</v>
      </c>
      <c r="G219" s="56" t="s">
        <v>2367</v>
      </c>
    </row>
    <row r="220" spans="1:7">
      <c r="A220" s="56" t="s">
        <v>2368</v>
      </c>
      <c r="B220" s="56" t="s">
        <v>2358</v>
      </c>
      <c r="C220" s="56" t="s">
        <v>2369</v>
      </c>
      <c r="D220" s="56" t="s">
        <v>2391</v>
      </c>
      <c r="E220" s="74" t="s">
        <v>108</v>
      </c>
      <c r="F220" s="56" t="s">
        <v>1927</v>
      </c>
      <c r="G220" s="56" t="s">
        <v>2237</v>
      </c>
    </row>
    <row r="221" spans="1:7">
      <c r="A221" s="56" t="s">
        <v>2370</v>
      </c>
      <c r="B221" s="56" t="s">
        <v>2358</v>
      </c>
      <c r="C221" s="56" t="s">
        <v>2371</v>
      </c>
      <c r="D221" s="56" t="s">
        <v>2391</v>
      </c>
      <c r="E221" s="74" t="s">
        <v>108</v>
      </c>
      <c r="F221" s="56" t="s">
        <v>1927</v>
      </c>
      <c r="G221" s="56" t="s">
        <v>2372</v>
      </c>
    </row>
    <row r="222" spans="1:7" ht="17.100000000000001">
      <c r="A222" s="75" t="s">
        <v>2415</v>
      </c>
      <c r="B222" s="75"/>
      <c r="C222" s="75"/>
      <c r="D222" s="75"/>
      <c r="E222" s="76"/>
      <c r="F222" s="75"/>
      <c r="G222" s="75"/>
    </row>
    <row r="223" spans="1:7">
      <c r="A223" s="56" t="s">
        <v>2416</v>
      </c>
      <c r="B223" s="56"/>
      <c r="C223" s="56" t="s">
        <v>2390</v>
      </c>
      <c r="D223" s="56" t="s">
        <v>2391</v>
      </c>
      <c r="E223" s="74" t="s">
        <v>2392</v>
      </c>
      <c r="F223" s="56" t="s">
        <v>1935</v>
      </c>
      <c r="G223" s="56" t="s">
        <v>2417</v>
      </c>
    </row>
    <row r="224" spans="1:7">
      <c r="A224" s="56" t="s">
        <v>2374</v>
      </c>
      <c r="B224" s="56" t="s">
        <v>2375</v>
      </c>
      <c r="C224" s="56" t="s">
        <v>2376</v>
      </c>
      <c r="D224" s="56" t="s">
        <v>2391</v>
      </c>
      <c r="E224" s="74" t="s">
        <v>108</v>
      </c>
      <c r="F224" s="56" t="s">
        <v>1927</v>
      </c>
      <c r="G224" s="56" t="s">
        <v>2377</v>
      </c>
    </row>
    <row r="225" spans="1:7">
      <c r="A225" s="56" t="s">
        <v>2378</v>
      </c>
      <c r="B225" s="56" t="s">
        <v>2379</v>
      </c>
      <c r="C225" s="56" t="s">
        <v>2380</v>
      </c>
      <c r="D225" s="56" t="s">
        <v>2391</v>
      </c>
      <c r="E225" s="74" t="s">
        <v>108</v>
      </c>
      <c r="F225" s="56" t="s">
        <v>1927</v>
      </c>
      <c r="G225" s="56" t="s">
        <v>2381</v>
      </c>
    </row>
    <row r="226" spans="1:7">
      <c r="A226" s="56" t="s">
        <v>2418</v>
      </c>
      <c r="B226" s="56" t="s">
        <v>2385</v>
      </c>
      <c r="C226" s="56" t="s">
        <v>2390</v>
      </c>
      <c r="D226" s="56" t="s">
        <v>2391</v>
      </c>
      <c r="E226" s="74" t="s">
        <v>2392</v>
      </c>
      <c r="F226" s="56" t="s">
        <v>1935</v>
      </c>
      <c r="G226" s="56" t="s">
        <v>2419</v>
      </c>
    </row>
    <row r="227" spans="1:7">
      <c r="A227" s="56" t="s">
        <v>2382</v>
      </c>
      <c r="B227" s="56"/>
      <c r="C227" s="56" t="s">
        <v>2254</v>
      </c>
      <c r="D227" s="56" t="s">
        <v>2391</v>
      </c>
      <c r="E227" s="74" t="s">
        <v>2395</v>
      </c>
      <c r="F227" s="56" t="s">
        <v>1935</v>
      </c>
      <c r="G227" s="56" t="s">
        <v>2237</v>
      </c>
    </row>
    <row r="228" spans="1:7">
      <c r="A228" s="56" t="s">
        <v>2383</v>
      </c>
      <c r="B228" s="56"/>
      <c r="C228" s="56" t="s">
        <v>108</v>
      </c>
      <c r="D228" s="56" t="s">
        <v>2391</v>
      </c>
      <c r="E228" s="74" t="s">
        <v>108</v>
      </c>
      <c r="F228" s="56" t="s">
        <v>1927</v>
      </c>
      <c r="G228" s="56" t="s">
        <v>2237</v>
      </c>
    </row>
    <row r="229" spans="1:7">
      <c r="A229" s="56" t="s">
        <v>2384</v>
      </c>
      <c r="B229" s="56" t="s">
        <v>2385</v>
      </c>
      <c r="C229" s="56" t="s">
        <v>2386</v>
      </c>
      <c r="D229" s="56" t="s">
        <v>2391</v>
      </c>
      <c r="E229" s="74" t="s">
        <v>2386</v>
      </c>
      <c r="F229" s="56" t="s">
        <v>1927</v>
      </c>
      <c r="G229" s="56" t="s">
        <v>2387</v>
      </c>
    </row>
    <row r="230" spans="1:7" ht="17.100000000000001">
      <c r="A230" s="75" t="s">
        <v>2420</v>
      </c>
      <c r="B230" s="75"/>
      <c r="C230" s="75"/>
      <c r="D230" s="75"/>
      <c r="E230" s="76"/>
      <c r="F230" s="75"/>
      <c r="G230" s="75"/>
    </row>
    <row r="231" spans="1:7">
      <c r="A231" s="56" t="s">
        <v>2230</v>
      </c>
      <c r="B231" s="56" t="s">
        <v>2231</v>
      </c>
      <c r="C231" s="56" t="s">
        <v>1562</v>
      </c>
      <c r="D231" s="56" t="s">
        <v>2421</v>
      </c>
      <c r="E231" s="74" t="s">
        <v>1562</v>
      </c>
      <c r="F231" s="56" t="s">
        <v>1964</v>
      </c>
      <c r="G231" s="56" t="s">
        <v>2233</v>
      </c>
    </row>
    <row r="232" spans="1:7">
      <c r="A232" s="56" t="s">
        <v>2235</v>
      </c>
      <c r="B232" s="56" t="s">
        <v>2236</v>
      </c>
      <c r="C232" s="56" t="s">
        <v>1212</v>
      </c>
      <c r="D232" s="56" t="s">
        <v>2421</v>
      </c>
      <c r="E232" s="74" t="s">
        <v>1212</v>
      </c>
      <c r="F232" s="56" t="s">
        <v>1959</v>
      </c>
      <c r="G232" s="56" t="s">
        <v>2237</v>
      </c>
    </row>
    <row r="233" spans="1:7">
      <c r="A233" s="57" t="s">
        <v>2238</v>
      </c>
      <c r="B233" s="57"/>
      <c r="C233" s="57" t="s">
        <v>2239</v>
      </c>
      <c r="D233" s="57" t="s">
        <v>2421</v>
      </c>
      <c r="E233" s="58" t="s">
        <v>2422</v>
      </c>
      <c r="F233" s="58" t="s">
        <v>2423</v>
      </c>
      <c r="G233" s="57" t="s">
        <v>2237</v>
      </c>
    </row>
    <row r="234" spans="1:7">
      <c r="A234" s="56" t="s">
        <v>2240</v>
      </c>
      <c r="B234" s="56" t="s">
        <v>2241</v>
      </c>
      <c r="C234" s="56" t="s">
        <v>108</v>
      </c>
      <c r="D234" s="56" t="s">
        <v>2421</v>
      </c>
      <c r="E234" s="74" t="s">
        <v>108</v>
      </c>
      <c r="F234" s="56" t="s">
        <v>1961</v>
      </c>
      <c r="G234" s="56" t="s">
        <v>2237</v>
      </c>
    </row>
    <row r="235" spans="1:7">
      <c r="A235" s="56" t="s">
        <v>2242</v>
      </c>
      <c r="B235" s="56" t="s">
        <v>2243</v>
      </c>
      <c r="C235" s="56" t="s">
        <v>108</v>
      </c>
      <c r="D235" s="56" t="s">
        <v>2421</v>
      </c>
      <c r="E235" s="74" t="s">
        <v>108</v>
      </c>
      <c r="F235" s="56" t="s">
        <v>1961</v>
      </c>
      <c r="G235" s="56" t="s">
        <v>2244</v>
      </c>
    </row>
    <row r="236" spans="1:7">
      <c r="A236" s="56" t="s">
        <v>2245</v>
      </c>
      <c r="B236" s="56"/>
      <c r="C236" s="56" t="s">
        <v>108</v>
      </c>
      <c r="D236" s="56" t="s">
        <v>2421</v>
      </c>
      <c r="E236" s="74" t="s">
        <v>108</v>
      </c>
      <c r="F236" s="56" t="s">
        <v>1961</v>
      </c>
      <c r="G236" s="56" t="s">
        <v>2237</v>
      </c>
    </row>
    <row r="237" spans="1:7" ht="17.100000000000001">
      <c r="A237" s="75" t="s">
        <v>2424</v>
      </c>
      <c r="B237" s="75"/>
      <c r="C237" s="75"/>
      <c r="D237" s="75"/>
      <c r="E237" s="76"/>
      <c r="F237" s="75"/>
      <c r="G237" s="75"/>
    </row>
    <row r="238" spans="1:7">
      <c r="A238" s="56" t="s">
        <v>2247</v>
      </c>
      <c r="B238" s="56" t="s">
        <v>2248</v>
      </c>
      <c r="C238" s="56" t="s">
        <v>108</v>
      </c>
      <c r="D238" s="56" t="s">
        <v>2421</v>
      </c>
      <c r="E238" s="74" t="s">
        <v>108</v>
      </c>
      <c r="F238" s="56" t="s">
        <v>1961</v>
      </c>
      <c r="G238" s="56" t="s">
        <v>2237</v>
      </c>
    </row>
    <row r="239" spans="1:7">
      <c r="A239" s="56" t="s">
        <v>2249</v>
      </c>
      <c r="B239" s="56" t="s">
        <v>2250</v>
      </c>
      <c r="C239" s="56" t="s">
        <v>108</v>
      </c>
      <c r="D239" s="56" t="s">
        <v>2421</v>
      </c>
      <c r="E239" s="74" t="s">
        <v>108</v>
      </c>
      <c r="F239" s="56" t="s">
        <v>1961</v>
      </c>
      <c r="G239" s="56" t="s">
        <v>2251</v>
      </c>
    </row>
    <row r="240" spans="1:7">
      <c r="A240" s="56" t="s">
        <v>2252</v>
      </c>
      <c r="B240" s="56" t="s">
        <v>2250</v>
      </c>
      <c r="C240" s="56" t="s">
        <v>108</v>
      </c>
      <c r="D240" s="56" t="s">
        <v>2421</v>
      </c>
      <c r="E240" s="74" t="s">
        <v>108</v>
      </c>
      <c r="F240" s="56" t="s">
        <v>1961</v>
      </c>
      <c r="G240" s="56" t="s">
        <v>2237</v>
      </c>
    </row>
    <row r="241" spans="1:7">
      <c r="A241" s="56" t="s">
        <v>2253</v>
      </c>
      <c r="B241" s="56" t="s">
        <v>2236</v>
      </c>
      <c r="C241" s="56" t="s">
        <v>2254</v>
      </c>
      <c r="D241" s="56" t="s">
        <v>2421</v>
      </c>
      <c r="E241" s="74" t="s">
        <v>2425</v>
      </c>
      <c r="F241" s="56" t="s">
        <v>1969</v>
      </c>
      <c r="G241" s="56" t="s">
        <v>2237</v>
      </c>
    </row>
    <row r="242" spans="1:7">
      <c r="A242" s="56" t="s">
        <v>2256</v>
      </c>
      <c r="B242" s="56" t="s">
        <v>2257</v>
      </c>
      <c r="C242" s="56" t="s">
        <v>108</v>
      </c>
      <c r="D242" s="56" t="s">
        <v>2421</v>
      </c>
      <c r="E242" s="74" t="s">
        <v>108</v>
      </c>
      <c r="F242" s="56" t="s">
        <v>1961</v>
      </c>
      <c r="G242" s="56" t="s">
        <v>2258</v>
      </c>
    </row>
    <row r="243" spans="1:7" ht="17.100000000000001">
      <c r="A243" s="75" t="s">
        <v>2426</v>
      </c>
      <c r="B243" s="75"/>
      <c r="C243" s="75"/>
      <c r="D243" s="75"/>
      <c r="E243" s="76"/>
      <c r="F243" s="75"/>
      <c r="G243" s="75"/>
    </row>
    <row r="244" spans="1:7">
      <c r="A244" s="56" t="s">
        <v>2260</v>
      </c>
      <c r="B244" s="56" t="s">
        <v>2261</v>
      </c>
      <c r="C244" s="56" t="s">
        <v>108</v>
      </c>
      <c r="D244" s="56" t="s">
        <v>2421</v>
      </c>
      <c r="E244" s="74" t="s">
        <v>108</v>
      </c>
      <c r="F244" s="56" t="s">
        <v>1961</v>
      </c>
      <c r="G244" s="56" t="s">
        <v>2237</v>
      </c>
    </row>
    <row r="245" spans="1:7">
      <c r="A245" s="56" t="s">
        <v>2262</v>
      </c>
      <c r="B245" s="56" t="s">
        <v>2261</v>
      </c>
      <c r="C245" s="56" t="s">
        <v>2263</v>
      </c>
      <c r="D245" s="56" t="s">
        <v>2421</v>
      </c>
      <c r="E245" s="74" t="s">
        <v>108</v>
      </c>
      <c r="F245" s="56" t="s">
        <v>1961</v>
      </c>
      <c r="G245" s="56" t="s">
        <v>2237</v>
      </c>
    </row>
    <row r="246" spans="1:7">
      <c r="A246" s="56" t="s">
        <v>2264</v>
      </c>
      <c r="B246" s="56" t="s">
        <v>2261</v>
      </c>
      <c r="C246" s="56" t="s">
        <v>2265</v>
      </c>
      <c r="D246" s="56" t="s">
        <v>2421</v>
      </c>
      <c r="E246" s="74" t="s">
        <v>108</v>
      </c>
      <c r="F246" s="56" t="s">
        <v>1961</v>
      </c>
      <c r="G246" s="56" t="s">
        <v>2266</v>
      </c>
    </row>
    <row r="247" spans="1:7">
      <c r="A247" s="56" t="s">
        <v>2267</v>
      </c>
      <c r="B247" s="56" t="s">
        <v>2261</v>
      </c>
      <c r="C247" s="56" t="s">
        <v>108</v>
      </c>
      <c r="D247" s="56" t="s">
        <v>2421</v>
      </c>
      <c r="E247" s="74" t="s">
        <v>108</v>
      </c>
      <c r="F247" s="56" t="s">
        <v>1961</v>
      </c>
      <c r="G247" s="56" t="s">
        <v>2237</v>
      </c>
    </row>
    <row r="248" spans="1:7" ht="17.100000000000001">
      <c r="A248" s="75" t="s">
        <v>2427</v>
      </c>
      <c r="B248" s="75"/>
      <c r="C248" s="75"/>
      <c r="D248" s="75"/>
      <c r="E248" s="76"/>
      <c r="F248" s="75"/>
      <c r="G248" s="75"/>
    </row>
    <row r="249" spans="1:7">
      <c r="A249" s="56" t="s">
        <v>2269</v>
      </c>
      <c r="B249" s="56" t="s">
        <v>2270</v>
      </c>
      <c r="C249" s="56" t="s">
        <v>2271</v>
      </c>
      <c r="D249" s="56" t="s">
        <v>2421</v>
      </c>
      <c r="E249" s="74" t="s">
        <v>108</v>
      </c>
      <c r="F249" s="56" t="s">
        <v>1961</v>
      </c>
      <c r="G249" s="56" t="s">
        <v>2237</v>
      </c>
    </row>
    <row r="250" spans="1:7">
      <c r="A250" s="56" t="s">
        <v>2428</v>
      </c>
      <c r="B250" s="56"/>
      <c r="C250" s="56" t="s">
        <v>549</v>
      </c>
      <c r="D250" s="56" t="s">
        <v>2421</v>
      </c>
      <c r="E250" s="74" t="s">
        <v>549</v>
      </c>
      <c r="F250" s="56" t="s">
        <v>1964</v>
      </c>
      <c r="G250" s="56" t="s">
        <v>2429</v>
      </c>
    </row>
    <row r="251" spans="1:7">
      <c r="A251" s="56" t="s">
        <v>2430</v>
      </c>
      <c r="B251" s="56" t="s">
        <v>2273</v>
      </c>
      <c r="C251" s="56" t="s">
        <v>549</v>
      </c>
      <c r="D251" s="56" t="s">
        <v>2421</v>
      </c>
      <c r="E251" s="74" t="s">
        <v>549</v>
      </c>
      <c r="F251" s="56" t="s">
        <v>1964</v>
      </c>
      <c r="G251" s="56" t="s">
        <v>2431</v>
      </c>
    </row>
    <row r="252" spans="1:7">
      <c r="A252" s="56" t="s">
        <v>2272</v>
      </c>
      <c r="B252" s="56" t="s">
        <v>2273</v>
      </c>
      <c r="C252" s="56" t="s">
        <v>108</v>
      </c>
      <c r="D252" s="56" t="s">
        <v>2421</v>
      </c>
      <c r="E252" s="74" t="s">
        <v>108</v>
      </c>
      <c r="F252" s="56" t="s">
        <v>1961</v>
      </c>
      <c r="G252" s="56" t="s">
        <v>2237</v>
      </c>
    </row>
    <row r="253" spans="1:7">
      <c r="A253" s="56" t="s">
        <v>2274</v>
      </c>
      <c r="B253" s="56" t="s">
        <v>2270</v>
      </c>
      <c r="C253" s="56" t="s">
        <v>2275</v>
      </c>
      <c r="D253" s="56" t="s">
        <v>2421</v>
      </c>
      <c r="E253" s="74" t="s">
        <v>108</v>
      </c>
      <c r="F253" s="56" t="s">
        <v>1961</v>
      </c>
      <c r="G253" s="56" t="s">
        <v>2237</v>
      </c>
    </row>
    <row r="254" spans="1:7">
      <c r="A254" s="57" t="s">
        <v>2276</v>
      </c>
      <c r="B254" s="57" t="s">
        <v>2273</v>
      </c>
      <c r="C254" s="57" t="s">
        <v>2277</v>
      </c>
      <c r="D254" s="57" t="s">
        <v>2421</v>
      </c>
      <c r="E254" s="58" t="s">
        <v>1562</v>
      </c>
      <c r="F254" s="58" t="s">
        <v>2423</v>
      </c>
      <c r="G254" s="57" t="s">
        <v>2278</v>
      </c>
    </row>
    <row r="255" spans="1:7">
      <c r="A255" s="56" t="s">
        <v>2279</v>
      </c>
      <c r="B255" s="56" t="s">
        <v>2280</v>
      </c>
      <c r="C255" s="56" t="s">
        <v>108</v>
      </c>
      <c r="D255" s="56" t="s">
        <v>2421</v>
      </c>
      <c r="E255" s="74" t="s">
        <v>108</v>
      </c>
      <c r="F255" s="56" t="s">
        <v>1961</v>
      </c>
      <c r="G255" s="56" t="s">
        <v>2281</v>
      </c>
    </row>
    <row r="256" spans="1:7">
      <c r="A256" s="56" t="s">
        <v>2282</v>
      </c>
      <c r="B256" s="56" t="s">
        <v>2280</v>
      </c>
      <c r="C256" s="56" t="s">
        <v>108</v>
      </c>
      <c r="D256" s="56" t="s">
        <v>2421</v>
      </c>
      <c r="E256" s="74" t="s">
        <v>108</v>
      </c>
      <c r="F256" s="56" t="s">
        <v>1961</v>
      </c>
      <c r="G256" s="56" t="s">
        <v>2237</v>
      </c>
    </row>
    <row r="257" spans="1:7" ht="17.100000000000001">
      <c r="A257" s="75" t="s">
        <v>2432</v>
      </c>
      <c r="B257" s="75"/>
      <c r="C257" s="75"/>
      <c r="D257" s="75"/>
      <c r="E257" s="76"/>
      <c r="F257" s="75"/>
      <c r="G257" s="75"/>
    </row>
    <row r="258" spans="1:7">
      <c r="A258" s="56" t="s">
        <v>2284</v>
      </c>
      <c r="B258" s="56" t="s">
        <v>2285</v>
      </c>
      <c r="C258" s="56" t="s">
        <v>108</v>
      </c>
      <c r="D258" s="56" t="s">
        <v>2421</v>
      </c>
      <c r="E258" s="74" t="s">
        <v>108</v>
      </c>
      <c r="F258" s="56" t="s">
        <v>1961</v>
      </c>
      <c r="G258" s="56" t="s">
        <v>2286</v>
      </c>
    </row>
    <row r="259" spans="1:7">
      <c r="A259" s="56" t="s">
        <v>2287</v>
      </c>
      <c r="B259" s="56" t="s">
        <v>2248</v>
      </c>
      <c r="C259" s="56" t="s">
        <v>2288</v>
      </c>
      <c r="D259" s="56" t="s">
        <v>2421</v>
      </c>
      <c r="E259" s="74" t="s">
        <v>2425</v>
      </c>
      <c r="F259" s="56" t="s">
        <v>1969</v>
      </c>
      <c r="G259" s="56" t="s">
        <v>2237</v>
      </c>
    </row>
    <row r="260" spans="1:7">
      <c r="A260" s="56" t="s">
        <v>2289</v>
      </c>
      <c r="B260" s="56" t="s">
        <v>2248</v>
      </c>
      <c r="C260" s="56" t="s">
        <v>2254</v>
      </c>
      <c r="D260" s="56" t="s">
        <v>2421</v>
      </c>
      <c r="E260" s="74" t="s">
        <v>2425</v>
      </c>
      <c r="F260" s="56" t="s">
        <v>1969</v>
      </c>
      <c r="G260" s="56" t="s">
        <v>2237</v>
      </c>
    </row>
    <row r="261" spans="1:7">
      <c r="A261" s="56" t="s">
        <v>2290</v>
      </c>
      <c r="B261" s="56" t="s">
        <v>2248</v>
      </c>
      <c r="C261" s="56" t="s">
        <v>2254</v>
      </c>
      <c r="D261" s="56" t="s">
        <v>2421</v>
      </c>
      <c r="E261" s="74" t="s">
        <v>2425</v>
      </c>
      <c r="F261" s="56" t="s">
        <v>1969</v>
      </c>
      <c r="G261" s="56" t="s">
        <v>2237</v>
      </c>
    </row>
    <row r="262" spans="1:7">
      <c r="A262" s="56" t="s">
        <v>2291</v>
      </c>
      <c r="B262" s="56" t="s">
        <v>2292</v>
      </c>
      <c r="C262" s="56" t="s">
        <v>2254</v>
      </c>
      <c r="D262" s="56" t="s">
        <v>2421</v>
      </c>
      <c r="E262" s="74" t="s">
        <v>2425</v>
      </c>
      <c r="F262" s="56" t="s">
        <v>1969</v>
      </c>
      <c r="G262" s="56" t="s">
        <v>2237</v>
      </c>
    </row>
    <row r="263" spans="1:7">
      <c r="A263" s="56" t="s">
        <v>2293</v>
      </c>
      <c r="B263" s="56"/>
      <c r="C263" s="56" t="s">
        <v>2254</v>
      </c>
      <c r="D263" s="56" t="s">
        <v>2421</v>
      </c>
      <c r="E263" s="74" t="s">
        <v>2425</v>
      </c>
      <c r="F263" s="56" t="s">
        <v>1969</v>
      </c>
      <c r="G263" s="56" t="s">
        <v>2237</v>
      </c>
    </row>
    <row r="264" spans="1:7">
      <c r="A264" s="56" t="s">
        <v>2294</v>
      </c>
      <c r="B264" s="56"/>
      <c r="C264" s="56" t="s">
        <v>2254</v>
      </c>
      <c r="D264" s="56" t="s">
        <v>2421</v>
      </c>
      <c r="E264" s="74" t="s">
        <v>2425</v>
      </c>
      <c r="F264" s="56" t="s">
        <v>1969</v>
      </c>
      <c r="G264" s="56" t="s">
        <v>2237</v>
      </c>
    </row>
    <row r="265" spans="1:7">
      <c r="A265" s="56" t="s">
        <v>2295</v>
      </c>
      <c r="B265" s="56"/>
      <c r="C265" s="56" t="s">
        <v>2254</v>
      </c>
      <c r="D265" s="56" t="s">
        <v>2421</v>
      </c>
      <c r="E265" s="74" t="s">
        <v>2425</v>
      </c>
      <c r="F265" s="56" t="s">
        <v>1969</v>
      </c>
      <c r="G265" s="56" t="s">
        <v>2237</v>
      </c>
    </row>
    <row r="266" spans="1:7" ht="17.100000000000001">
      <c r="A266" s="75" t="s">
        <v>2433</v>
      </c>
      <c r="B266" s="75"/>
      <c r="C266" s="75"/>
      <c r="D266" s="75"/>
      <c r="E266" s="76"/>
      <c r="F266" s="75"/>
      <c r="G266" s="75"/>
    </row>
    <row r="267" spans="1:7">
      <c r="A267" s="56" t="s">
        <v>2297</v>
      </c>
      <c r="B267" s="56" t="s">
        <v>2298</v>
      </c>
      <c r="C267" s="56" t="s">
        <v>108</v>
      </c>
      <c r="D267" s="56" t="s">
        <v>2421</v>
      </c>
      <c r="E267" s="74" t="s">
        <v>108</v>
      </c>
      <c r="F267" s="56" t="s">
        <v>1961</v>
      </c>
      <c r="G267" s="56" t="s">
        <v>2237</v>
      </c>
    </row>
    <row r="268" spans="1:7">
      <c r="A268" s="56" t="s">
        <v>2299</v>
      </c>
      <c r="B268" s="56" t="s">
        <v>2298</v>
      </c>
      <c r="C268" s="56" t="s">
        <v>2300</v>
      </c>
      <c r="D268" s="56" t="s">
        <v>2421</v>
      </c>
      <c r="E268" s="74" t="s">
        <v>108</v>
      </c>
      <c r="F268" s="56" t="s">
        <v>1961</v>
      </c>
      <c r="G268" s="56" t="s">
        <v>2301</v>
      </c>
    </row>
    <row r="269" spans="1:7">
      <c r="A269" s="56" t="s">
        <v>2302</v>
      </c>
      <c r="B269" s="56"/>
      <c r="C269" s="56" t="s">
        <v>2303</v>
      </c>
      <c r="D269" s="56" t="s">
        <v>2421</v>
      </c>
      <c r="E269" s="74" t="s">
        <v>108</v>
      </c>
      <c r="F269" s="56" t="s">
        <v>1961</v>
      </c>
      <c r="G269" s="56" t="s">
        <v>2237</v>
      </c>
    </row>
    <row r="270" spans="1:7">
      <c r="A270" s="56" t="s">
        <v>2304</v>
      </c>
      <c r="B270" s="56"/>
      <c r="C270" s="56" t="s">
        <v>2254</v>
      </c>
      <c r="D270" s="56" t="s">
        <v>2421</v>
      </c>
      <c r="E270" s="74" t="s">
        <v>2425</v>
      </c>
      <c r="F270" s="56" t="s">
        <v>1969</v>
      </c>
      <c r="G270" s="56" t="s">
        <v>2237</v>
      </c>
    </row>
    <row r="271" spans="1:7">
      <c r="A271" s="56" t="s">
        <v>2305</v>
      </c>
      <c r="B271" s="56"/>
      <c r="C271" s="56" t="s">
        <v>2254</v>
      </c>
      <c r="D271" s="56" t="s">
        <v>2421</v>
      </c>
      <c r="E271" s="74" t="s">
        <v>2425</v>
      </c>
      <c r="F271" s="56" t="s">
        <v>1969</v>
      </c>
      <c r="G271" s="56" t="s">
        <v>2237</v>
      </c>
    </row>
    <row r="272" spans="1:7">
      <c r="A272" s="56" t="s">
        <v>2306</v>
      </c>
      <c r="B272" s="56" t="s">
        <v>2298</v>
      </c>
      <c r="C272" s="56" t="s">
        <v>2307</v>
      </c>
      <c r="D272" s="56" t="s">
        <v>2421</v>
      </c>
      <c r="E272" s="74" t="s">
        <v>2307</v>
      </c>
      <c r="F272" s="56" t="s">
        <v>1961</v>
      </c>
      <c r="G272" s="56" t="s">
        <v>2237</v>
      </c>
    </row>
    <row r="273" spans="1:7">
      <c r="A273" s="56" t="s">
        <v>2308</v>
      </c>
      <c r="B273" s="56" t="s">
        <v>2309</v>
      </c>
      <c r="C273" s="56" t="s">
        <v>108</v>
      </c>
      <c r="D273" s="56" t="s">
        <v>2421</v>
      </c>
      <c r="E273" s="74" t="s">
        <v>108</v>
      </c>
      <c r="F273" s="56" t="s">
        <v>1961</v>
      </c>
      <c r="G273" s="56" t="s">
        <v>2237</v>
      </c>
    </row>
    <row r="274" spans="1:7" ht="17.100000000000001">
      <c r="A274" s="75" t="s">
        <v>2434</v>
      </c>
      <c r="B274" s="75"/>
      <c r="C274" s="75"/>
      <c r="D274" s="75"/>
      <c r="E274" s="76"/>
      <c r="F274" s="75"/>
      <c r="G274" s="75"/>
    </row>
    <row r="275" spans="1:7">
      <c r="A275" s="56" t="s">
        <v>2311</v>
      </c>
      <c r="B275" s="56"/>
      <c r="C275" s="56" t="s">
        <v>2307</v>
      </c>
      <c r="D275" s="56" t="s">
        <v>2421</v>
      </c>
      <c r="E275" s="74" t="s">
        <v>2307</v>
      </c>
      <c r="F275" s="56" t="s">
        <v>1961</v>
      </c>
      <c r="G275" s="56" t="s">
        <v>2237</v>
      </c>
    </row>
    <row r="276" spans="1:7">
      <c r="A276" s="56" t="s">
        <v>2312</v>
      </c>
      <c r="B276" s="56"/>
      <c r="C276" s="56" t="s">
        <v>2313</v>
      </c>
      <c r="D276" s="56" t="s">
        <v>2421</v>
      </c>
      <c r="E276" s="74" t="s">
        <v>2435</v>
      </c>
      <c r="F276" s="56" t="s">
        <v>1964</v>
      </c>
      <c r="G276" s="56" t="s">
        <v>2237</v>
      </c>
    </row>
    <row r="277" spans="1:7">
      <c r="A277" s="56" t="s">
        <v>2314</v>
      </c>
      <c r="B277" s="56" t="s">
        <v>2298</v>
      </c>
      <c r="C277" s="56" t="s">
        <v>108</v>
      </c>
      <c r="D277" s="56" t="s">
        <v>2421</v>
      </c>
      <c r="E277" s="74" t="s">
        <v>108</v>
      </c>
      <c r="F277" s="56" t="s">
        <v>1961</v>
      </c>
      <c r="G277" s="56" t="s">
        <v>2237</v>
      </c>
    </row>
    <row r="278" spans="1:7">
      <c r="A278" s="56" t="s">
        <v>2315</v>
      </c>
      <c r="B278" s="56" t="s">
        <v>2298</v>
      </c>
      <c r="C278" s="56" t="s">
        <v>108</v>
      </c>
      <c r="D278" s="56" t="s">
        <v>2421</v>
      </c>
      <c r="E278" s="74" t="s">
        <v>108</v>
      </c>
      <c r="F278" s="56" t="s">
        <v>1961</v>
      </c>
      <c r="G278" s="56" t="s">
        <v>2237</v>
      </c>
    </row>
    <row r="279" spans="1:7">
      <c r="A279" s="56" t="s">
        <v>2316</v>
      </c>
      <c r="B279" s="56" t="s">
        <v>2292</v>
      </c>
      <c r="C279" s="56" t="s">
        <v>108</v>
      </c>
      <c r="D279" s="56" t="s">
        <v>2421</v>
      </c>
      <c r="E279" s="74" t="s">
        <v>108</v>
      </c>
      <c r="F279" s="56" t="s">
        <v>1961</v>
      </c>
      <c r="G279" s="56" t="s">
        <v>2237</v>
      </c>
    </row>
    <row r="280" spans="1:7">
      <c r="A280" s="56" t="s">
        <v>2317</v>
      </c>
      <c r="B280" s="56" t="s">
        <v>2318</v>
      </c>
      <c r="C280" s="56" t="s">
        <v>2307</v>
      </c>
      <c r="D280" s="56" t="s">
        <v>2421</v>
      </c>
      <c r="E280" s="74" t="s">
        <v>2307</v>
      </c>
      <c r="F280" s="56" t="s">
        <v>1961</v>
      </c>
      <c r="G280" s="56" t="s">
        <v>2237</v>
      </c>
    </row>
    <row r="281" spans="1:7">
      <c r="A281" s="56" t="s">
        <v>2319</v>
      </c>
      <c r="B281" s="56" t="s">
        <v>2318</v>
      </c>
      <c r="C281" s="56" t="s">
        <v>2307</v>
      </c>
      <c r="D281" s="56" t="s">
        <v>2421</v>
      </c>
      <c r="E281" s="74" t="s">
        <v>2307</v>
      </c>
      <c r="F281" s="56" t="s">
        <v>1961</v>
      </c>
      <c r="G281" s="56" t="s">
        <v>2237</v>
      </c>
    </row>
    <row r="282" spans="1:7">
      <c r="A282" s="56" t="s">
        <v>2320</v>
      </c>
      <c r="B282" s="56"/>
      <c r="C282" s="56" t="s">
        <v>2254</v>
      </c>
      <c r="D282" s="56" t="s">
        <v>2421</v>
      </c>
      <c r="E282" s="74" t="s">
        <v>2425</v>
      </c>
      <c r="F282" s="56" t="s">
        <v>1969</v>
      </c>
      <c r="G282" s="56" t="s">
        <v>2237</v>
      </c>
    </row>
    <row r="283" spans="1:7">
      <c r="A283" s="56" t="s">
        <v>2321</v>
      </c>
      <c r="B283" s="56" t="s">
        <v>2318</v>
      </c>
      <c r="C283" s="56" t="s">
        <v>108</v>
      </c>
      <c r="D283" s="56" t="s">
        <v>2421</v>
      </c>
      <c r="E283" s="74" t="s">
        <v>108</v>
      </c>
      <c r="F283" s="56" t="s">
        <v>1961</v>
      </c>
      <c r="G283" s="56" t="s">
        <v>2322</v>
      </c>
    </row>
    <row r="284" spans="1:7" ht="17.100000000000001">
      <c r="A284" s="75" t="s">
        <v>2436</v>
      </c>
      <c r="B284" s="75"/>
      <c r="C284" s="75"/>
      <c r="D284" s="75"/>
      <c r="E284" s="76"/>
      <c r="F284" s="75"/>
      <c r="G284" s="75"/>
    </row>
    <row r="285" spans="1:7">
      <c r="A285" s="56" t="s">
        <v>2324</v>
      </c>
      <c r="B285" s="56" t="s">
        <v>2325</v>
      </c>
      <c r="C285" s="56" t="s">
        <v>108</v>
      </c>
      <c r="D285" s="56" t="s">
        <v>2421</v>
      </c>
      <c r="E285" s="74" t="s">
        <v>108</v>
      </c>
      <c r="F285" s="56" t="s">
        <v>1961</v>
      </c>
      <c r="G285" s="56" t="s">
        <v>2237</v>
      </c>
    </row>
    <row r="286" spans="1:7">
      <c r="A286" s="56" t="s">
        <v>2326</v>
      </c>
      <c r="B286" s="56" t="s">
        <v>2327</v>
      </c>
      <c r="C286" s="56" t="s">
        <v>108</v>
      </c>
      <c r="D286" s="56" t="s">
        <v>2421</v>
      </c>
      <c r="E286" s="74" t="s">
        <v>108</v>
      </c>
      <c r="F286" s="56" t="s">
        <v>1961</v>
      </c>
      <c r="G286" s="56" t="s">
        <v>2237</v>
      </c>
    </row>
    <row r="287" spans="1:7">
      <c r="A287" s="56" t="s">
        <v>2328</v>
      </c>
      <c r="B287" s="56" t="s">
        <v>2327</v>
      </c>
      <c r="C287" s="56" t="s">
        <v>108</v>
      </c>
      <c r="D287" s="56" t="s">
        <v>2421</v>
      </c>
      <c r="E287" s="74" t="s">
        <v>108</v>
      </c>
      <c r="F287" s="56" t="s">
        <v>1961</v>
      </c>
      <c r="G287" s="56" t="s">
        <v>2237</v>
      </c>
    </row>
    <row r="288" spans="1:7" ht="17.100000000000001">
      <c r="A288" s="75" t="s">
        <v>2437</v>
      </c>
      <c r="B288" s="75"/>
      <c r="C288" s="75"/>
      <c r="D288" s="75"/>
      <c r="E288" s="76"/>
      <c r="F288" s="75"/>
      <c r="G288" s="75"/>
    </row>
    <row r="289" spans="1:7">
      <c r="A289" s="56" t="s">
        <v>2438</v>
      </c>
      <c r="B289" s="56" t="s">
        <v>2337</v>
      </c>
      <c r="C289" s="56" t="s">
        <v>549</v>
      </c>
      <c r="D289" s="56" t="s">
        <v>2421</v>
      </c>
      <c r="E289" s="74" t="s">
        <v>549</v>
      </c>
      <c r="F289" s="56" t="s">
        <v>1964</v>
      </c>
      <c r="G289" s="56" t="s">
        <v>2439</v>
      </c>
    </row>
    <row r="290" spans="1:7">
      <c r="A290" s="56" t="s">
        <v>2440</v>
      </c>
      <c r="B290" s="56" t="s">
        <v>2334</v>
      </c>
      <c r="C290" s="56" t="s">
        <v>2441</v>
      </c>
      <c r="D290" s="56" t="s">
        <v>2421</v>
      </c>
      <c r="E290" s="74" t="s">
        <v>549</v>
      </c>
      <c r="F290" s="56" t="s">
        <v>1964</v>
      </c>
      <c r="G290" s="56" t="s">
        <v>2442</v>
      </c>
    </row>
    <row r="291" spans="1:7">
      <c r="A291" s="56" t="s">
        <v>2330</v>
      </c>
      <c r="B291" s="56" t="s">
        <v>2331</v>
      </c>
      <c r="C291" s="56" t="s">
        <v>2307</v>
      </c>
      <c r="D291" s="56" t="s">
        <v>2421</v>
      </c>
      <c r="E291" s="74" t="s">
        <v>2307</v>
      </c>
      <c r="F291" s="56" t="s">
        <v>1961</v>
      </c>
      <c r="G291" s="56" t="s">
        <v>2332</v>
      </c>
    </row>
    <row r="292" spans="1:7">
      <c r="A292" s="56" t="s">
        <v>2333</v>
      </c>
      <c r="B292" s="56" t="s">
        <v>2334</v>
      </c>
      <c r="C292" s="56" t="s">
        <v>108</v>
      </c>
      <c r="D292" s="56" t="s">
        <v>2421</v>
      </c>
      <c r="E292" s="74" t="s">
        <v>108</v>
      </c>
      <c r="F292" s="56" t="s">
        <v>1961</v>
      </c>
      <c r="G292" s="56" t="s">
        <v>2335</v>
      </c>
    </row>
    <row r="293" spans="1:7">
      <c r="A293" s="56" t="s">
        <v>2336</v>
      </c>
      <c r="B293" s="56" t="s">
        <v>2337</v>
      </c>
      <c r="C293" s="56" t="s">
        <v>108</v>
      </c>
      <c r="D293" s="56" t="s">
        <v>2421</v>
      </c>
      <c r="E293" s="74" t="s">
        <v>108</v>
      </c>
      <c r="F293" s="56" t="s">
        <v>1961</v>
      </c>
      <c r="G293" s="56" t="s">
        <v>2338</v>
      </c>
    </row>
    <row r="294" spans="1:7">
      <c r="A294" s="56" t="s">
        <v>2339</v>
      </c>
      <c r="B294" s="56" t="s">
        <v>2340</v>
      </c>
      <c r="C294" s="56" t="s">
        <v>108</v>
      </c>
      <c r="D294" s="56" t="s">
        <v>2421</v>
      </c>
      <c r="E294" s="74" t="s">
        <v>108</v>
      </c>
      <c r="F294" s="56" t="s">
        <v>1961</v>
      </c>
      <c r="G294" s="56" t="s">
        <v>2341</v>
      </c>
    </row>
    <row r="295" spans="1:7">
      <c r="A295" s="56" t="s">
        <v>2342</v>
      </c>
      <c r="B295" s="56"/>
      <c r="C295" s="56" t="s">
        <v>2254</v>
      </c>
      <c r="D295" s="56" t="s">
        <v>2421</v>
      </c>
      <c r="E295" s="74" t="s">
        <v>2425</v>
      </c>
      <c r="F295" s="56" t="s">
        <v>1969</v>
      </c>
      <c r="G295" s="56" t="s">
        <v>2237</v>
      </c>
    </row>
    <row r="296" spans="1:7" ht="17.100000000000001">
      <c r="A296" s="75" t="s">
        <v>2443</v>
      </c>
      <c r="B296" s="75"/>
      <c r="C296" s="75"/>
      <c r="D296" s="75"/>
      <c r="E296" s="76"/>
      <c r="F296" s="75"/>
      <c r="G296" s="75"/>
    </row>
    <row r="297" spans="1:7">
      <c r="A297" s="56" t="s">
        <v>2344</v>
      </c>
      <c r="B297" s="56" t="s">
        <v>2334</v>
      </c>
      <c r="C297" s="56" t="s">
        <v>108</v>
      </c>
      <c r="D297" s="56" t="s">
        <v>2421</v>
      </c>
      <c r="E297" s="74" t="s">
        <v>108</v>
      </c>
      <c r="F297" s="56" t="s">
        <v>1961</v>
      </c>
      <c r="G297" s="56" t="s">
        <v>2345</v>
      </c>
    </row>
    <row r="298" spans="1:7">
      <c r="A298" s="56" t="s">
        <v>2410</v>
      </c>
      <c r="B298" s="56" t="s">
        <v>2236</v>
      </c>
      <c r="C298" s="56" t="s">
        <v>2411</v>
      </c>
      <c r="D298" s="56" t="s">
        <v>2421</v>
      </c>
      <c r="E298" s="74" t="s">
        <v>2444</v>
      </c>
      <c r="F298" s="56" t="s">
        <v>1969</v>
      </c>
      <c r="G298" s="56" t="s">
        <v>2413</v>
      </c>
    </row>
    <row r="299" spans="1:7">
      <c r="A299" s="56" t="s">
        <v>2445</v>
      </c>
      <c r="B299" s="56" t="s">
        <v>2236</v>
      </c>
      <c r="C299" s="56" t="s">
        <v>549</v>
      </c>
      <c r="D299" s="56" t="s">
        <v>2421</v>
      </c>
      <c r="E299" s="74" t="s">
        <v>549</v>
      </c>
      <c r="F299" s="56" t="s">
        <v>1964</v>
      </c>
      <c r="G299" s="56" t="s">
        <v>2446</v>
      </c>
    </row>
    <row r="300" spans="1:7">
      <c r="A300" s="56" t="s">
        <v>2346</v>
      </c>
      <c r="B300" s="56" t="s">
        <v>2347</v>
      </c>
      <c r="C300" s="56" t="s">
        <v>108</v>
      </c>
      <c r="D300" s="56" t="s">
        <v>2421</v>
      </c>
      <c r="E300" s="74" t="s">
        <v>108</v>
      </c>
      <c r="F300" s="56" t="s">
        <v>1961</v>
      </c>
      <c r="G300" s="56" t="s">
        <v>2348</v>
      </c>
    </row>
    <row r="301" spans="1:7">
      <c r="A301" s="56" t="s">
        <v>2349</v>
      </c>
      <c r="B301" s="56" t="s">
        <v>2350</v>
      </c>
      <c r="C301" s="56" t="s">
        <v>108</v>
      </c>
      <c r="D301" s="56" t="s">
        <v>2421</v>
      </c>
      <c r="E301" s="74" t="s">
        <v>108</v>
      </c>
      <c r="F301" s="56" t="s">
        <v>1961</v>
      </c>
      <c r="G301" s="56" t="s">
        <v>2351</v>
      </c>
    </row>
    <row r="302" spans="1:7">
      <c r="A302" s="56" t="s">
        <v>2352</v>
      </c>
      <c r="B302" s="56" t="s">
        <v>2353</v>
      </c>
      <c r="C302" s="56" t="s">
        <v>2307</v>
      </c>
      <c r="D302" s="56" t="s">
        <v>2421</v>
      </c>
      <c r="E302" s="74" t="s">
        <v>2307</v>
      </c>
      <c r="F302" s="56" t="s">
        <v>1961</v>
      </c>
      <c r="G302" s="56" t="s">
        <v>2237</v>
      </c>
    </row>
    <row r="303" spans="1:7">
      <c r="A303" s="56" t="s">
        <v>2354</v>
      </c>
      <c r="B303" s="56" t="s">
        <v>2353</v>
      </c>
      <c r="C303" s="56" t="s">
        <v>2355</v>
      </c>
      <c r="D303" s="56" t="s">
        <v>2421</v>
      </c>
      <c r="E303" s="74" t="s">
        <v>108</v>
      </c>
      <c r="F303" s="56" t="s">
        <v>1961</v>
      </c>
      <c r="G303" s="56" t="s">
        <v>2237</v>
      </c>
    </row>
    <row r="304" spans="1:7">
      <c r="A304" s="56" t="s">
        <v>2447</v>
      </c>
      <c r="B304" s="56" t="s">
        <v>2236</v>
      </c>
      <c r="C304" s="56" t="s">
        <v>549</v>
      </c>
      <c r="D304" s="56" t="s">
        <v>2421</v>
      </c>
      <c r="E304" s="74" t="s">
        <v>549</v>
      </c>
      <c r="F304" s="56" t="s">
        <v>1964</v>
      </c>
      <c r="G304" s="56" t="s">
        <v>2448</v>
      </c>
    </row>
    <row r="305" spans="1:7" ht="17.100000000000001">
      <c r="A305" s="75" t="s">
        <v>2449</v>
      </c>
      <c r="B305" s="75"/>
      <c r="C305" s="75"/>
      <c r="D305" s="75"/>
      <c r="E305" s="76"/>
      <c r="F305" s="75"/>
      <c r="G305" s="75"/>
    </row>
    <row r="306" spans="1:7">
      <c r="A306" s="56" t="s">
        <v>2450</v>
      </c>
      <c r="B306" s="56"/>
      <c r="C306" s="56" t="s">
        <v>549</v>
      </c>
      <c r="D306" s="56" t="s">
        <v>2421</v>
      </c>
      <c r="E306" s="74" t="s">
        <v>549</v>
      </c>
      <c r="F306" s="56" t="s">
        <v>1964</v>
      </c>
      <c r="G306" s="56" t="s">
        <v>2237</v>
      </c>
    </row>
    <row r="307" spans="1:7">
      <c r="A307" s="56" t="s">
        <v>2357</v>
      </c>
      <c r="B307" s="56" t="s">
        <v>2358</v>
      </c>
      <c r="C307" s="56" t="s">
        <v>108</v>
      </c>
      <c r="D307" s="56" t="s">
        <v>2421</v>
      </c>
      <c r="E307" s="74" t="s">
        <v>108</v>
      </c>
      <c r="F307" s="56" t="s">
        <v>1961</v>
      </c>
      <c r="G307" s="56" t="s">
        <v>2237</v>
      </c>
    </row>
    <row r="308" spans="1:7">
      <c r="A308" s="56" t="s">
        <v>2359</v>
      </c>
      <c r="B308" s="56" t="s">
        <v>2358</v>
      </c>
      <c r="C308" s="56" t="s">
        <v>2307</v>
      </c>
      <c r="D308" s="56" t="s">
        <v>2421</v>
      </c>
      <c r="E308" s="74" t="s">
        <v>2307</v>
      </c>
      <c r="F308" s="56" t="s">
        <v>1961</v>
      </c>
      <c r="G308" s="56" t="s">
        <v>2360</v>
      </c>
    </row>
    <row r="309" spans="1:7">
      <c r="A309" s="56" t="s">
        <v>2361</v>
      </c>
      <c r="B309" s="56" t="s">
        <v>2362</v>
      </c>
      <c r="C309" s="56" t="s">
        <v>2363</v>
      </c>
      <c r="D309" s="56" t="s">
        <v>2421</v>
      </c>
      <c r="E309" s="74" t="s">
        <v>2451</v>
      </c>
      <c r="F309" s="56" t="s">
        <v>1959</v>
      </c>
      <c r="G309" s="56" t="s">
        <v>2365</v>
      </c>
    </row>
    <row r="310" spans="1:7">
      <c r="A310" s="56" t="s">
        <v>2366</v>
      </c>
      <c r="B310" s="56" t="s">
        <v>2362</v>
      </c>
      <c r="C310" s="56" t="s">
        <v>2265</v>
      </c>
      <c r="D310" s="56" t="s">
        <v>2421</v>
      </c>
      <c r="E310" s="74" t="s">
        <v>108</v>
      </c>
      <c r="F310" s="56" t="s">
        <v>1961</v>
      </c>
      <c r="G310" s="56" t="s">
        <v>2367</v>
      </c>
    </row>
    <row r="311" spans="1:7">
      <c r="A311" s="56" t="s">
        <v>2368</v>
      </c>
      <c r="B311" s="56" t="s">
        <v>2358</v>
      </c>
      <c r="C311" s="56" t="s">
        <v>2369</v>
      </c>
      <c r="D311" s="56" t="s">
        <v>2421</v>
      </c>
      <c r="E311" s="74" t="s">
        <v>108</v>
      </c>
      <c r="F311" s="56" t="s">
        <v>1961</v>
      </c>
      <c r="G311" s="56" t="s">
        <v>2237</v>
      </c>
    </row>
    <row r="312" spans="1:7">
      <c r="A312" s="56" t="s">
        <v>2370</v>
      </c>
      <c r="B312" s="56" t="s">
        <v>2358</v>
      </c>
      <c r="C312" s="56" t="s">
        <v>2371</v>
      </c>
      <c r="D312" s="56" t="s">
        <v>2421</v>
      </c>
      <c r="E312" s="74" t="s">
        <v>108</v>
      </c>
      <c r="F312" s="56" t="s">
        <v>1961</v>
      </c>
      <c r="G312" s="56" t="s">
        <v>2372</v>
      </c>
    </row>
    <row r="313" spans="1:7" ht="17.100000000000001">
      <c r="A313" s="75" t="s">
        <v>2452</v>
      </c>
      <c r="B313" s="75"/>
      <c r="C313" s="75"/>
      <c r="D313" s="75"/>
      <c r="E313" s="76"/>
      <c r="F313" s="75"/>
      <c r="G313" s="75"/>
    </row>
    <row r="314" spans="1:7">
      <c r="A314" s="56" t="s">
        <v>2374</v>
      </c>
      <c r="B314" s="56" t="s">
        <v>2375</v>
      </c>
      <c r="C314" s="56" t="s">
        <v>2376</v>
      </c>
      <c r="D314" s="56" t="s">
        <v>2421</v>
      </c>
      <c r="E314" s="74" t="s">
        <v>108</v>
      </c>
      <c r="F314" s="56" t="s">
        <v>1961</v>
      </c>
      <c r="G314" s="56" t="s">
        <v>2377</v>
      </c>
    </row>
    <row r="315" spans="1:7">
      <c r="A315" s="56" t="s">
        <v>2378</v>
      </c>
      <c r="B315" s="56" t="s">
        <v>2379</v>
      </c>
      <c r="C315" s="56" t="s">
        <v>2380</v>
      </c>
      <c r="D315" s="56" t="s">
        <v>2421</v>
      </c>
      <c r="E315" s="74" t="s">
        <v>108</v>
      </c>
      <c r="F315" s="56" t="s">
        <v>1961</v>
      </c>
      <c r="G315" s="56" t="s">
        <v>2381</v>
      </c>
    </row>
    <row r="316" spans="1:7">
      <c r="A316" s="56" t="s">
        <v>2382</v>
      </c>
      <c r="B316" s="56"/>
      <c r="C316" s="56" t="s">
        <v>2254</v>
      </c>
      <c r="D316" s="56" t="s">
        <v>2421</v>
      </c>
      <c r="E316" s="74" t="s">
        <v>2425</v>
      </c>
      <c r="F316" s="56" t="s">
        <v>1969</v>
      </c>
      <c r="G316" s="56" t="s">
        <v>2237</v>
      </c>
    </row>
    <row r="317" spans="1:7">
      <c r="A317" s="56" t="s">
        <v>2383</v>
      </c>
      <c r="B317" s="56"/>
      <c r="C317" s="56" t="s">
        <v>108</v>
      </c>
      <c r="D317" s="56" t="s">
        <v>2421</v>
      </c>
      <c r="E317" s="74" t="s">
        <v>108</v>
      </c>
      <c r="F317" s="56" t="s">
        <v>1961</v>
      </c>
      <c r="G317" s="56" t="s">
        <v>2237</v>
      </c>
    </row>
    <row r="318" spans="1:7">
      <c r="A318" s="56" t="s">
        <v>2384</v>
      </c>
      <c r="B318" s="56" t="s">
        <v>2385</v>
      </c>
      <c r="C318" s="56" t="s">
        <v>2386</v>
      </c>
      <c r="D318" s="56" t="s">
        <v>2421</v>
      </c>
      <c r="E318" s="74" t="s">
        <v>2386</v>
      </c>
      <c r="F318" s="56" t="s">
        <v>1961</v>
      </c>
      <c r="G318" s="56" t="s">
        <v>2387</v>
      </c>
    </row>
    <row r="319" spans="1:7" ht="17.100000000000001">
      <c r="A319" s="75" t="s">
        <v>2453</v>
      </c>
      <c r="B319" s="75"/>
      <c r="C319" s="75"/>
      <c r="D319" s="75"/>
      <c r="E319" s="76"/>
      <c r="F319" s="75"/>
      <c r="G319" s="75"/>
    </row>
    <row r="320" spans="1:7">
      <c r="A320" s="56" t="s">
        <v>2235</v>
      </c>
      <c r="B320" s="56" t="s">
        <v>2236</v>
      </c>
      <c r="C320" s="56" t="s">
        <v>1212</v>
      </c>
      <c r="D320" s="56" t="s">
        <v>2454</v>
      </c>
      <c r="E320" s="74" t="s">
        <v>1212</v>
      </c>
      <c r="F320" s="56" t="s">
        <v>1993</v>
      </c>
      <c r="G320" s="56" t="s">
        <v>2237</v>
      </c>
    </row>
    <row r="321" spans="1:7">
      <c r="A321" s="56" t="s">
        <v>2238</v>
      </c>
      <c r="B321" s="56"/>
      <c r="C321" s="56" t="s">
        <v>2239</v>
      </c>
      <c r="D321" s="56" t="s">
        <v>2454</v>
      </c>
      <c r="E321" s="74" t="s">
        <v>1212</v>
      </c>
      <c r="F321" s="56" t="s">
        <v>1993</v>
      </c>
      <c r="G321" s="56" t="s">
        <v>2237</v>
      </c>
    </row>
    <row r="322" spans="1:7" ht="17.100000000000001">
      <c r="A322" s="75" t="s">
        <v>2455</v>
      </c>
      <c r="B322" s="75"/>
      <c r="C322" s="75"/>
      <c r="D322" s="75"/>
      <c r="E322" s="76"/>
      <c r="F322" s="75"/>
      <c r="G322" s="75"/>
    </row>
    <row r="323" spans="1:7">
      <c r="A323" s="56" t="s">
        <v>2361</v>
      </c>
      <c r="B323" s="56" t="s">
        <v>2362</v>
      </c>
      <c r="C323" s="56" t="s">
        <v>2363</v>
      </c>
      <c r="D323" s="56" t="s">
        <v>2454</v>
      </c>
      <c r="E323" s="74" t="s">
        <v>2456</v>
      </c>
      <c r="F323" s="56" t="s">
        <v>1993</v>
      </c>
      <c r="G323" s="56" t="s">
        <v>2365</v>
      </c>
    </row>
    <row r="324" spans="1:7" ht="17.100000000000001">
      <c r="A324" s="75" t="s">
        <v>2457</v>
      </c>
      <c r="B324" s="75"/>
      <c r="C324" s="75"/>
      <c r="D324" s="75"/>
      <c r="E324" s="76"/>
      <c r="F324" s="75"/>
      <c r="G324" s="75"/>
    </row>
    <row r="325" spans="1:7">
      <c r="A325" s="56" t="s">
        <v>2389</v>
      </c>
      <c r="B325" s="56" t="s">
        <v>2241</v>
      </c>
      <c r="C325" s="56" t="s">
        <v>2390</v>
      </c>
      <c r="D325" s="56" t="s">
        <v>2458</v>
      </c>
      <c r="E325" s="74" t="s">
        <v>2392</v>
      </c>
      <c r="F325" s="56" t="s">
        <v>2022</v>
      </c>
      <c r="G325" s="56" t="s">
        <v>2393</v>
      </c>
    </row>
    <row r="326" spans="1:7" ht="17.100000000000001">
      <c r="A326" s="75" t="s">
        <v>2459</v>
      </c>
      <c r="B326" s="75"/>
      <c r="C326" s="75"/>
      <c r="D326" s="75"/>
      <c r="E326" s="76"/>
      <c r="F326" s="75"/>
      <c r="G326" s="75"/>
    </row>
    <row r="327" spans="1:7">
      <c r="A327" s="56" t="s">
        <v>2253</v>
      </c>
      <c r="B327" s="56" t="s">
        <v>2236</v>
      </c>
      <c r="C327" s="56" t="s">
        <v>2254</v>
      </c>
      <c r="D327" s="56" t="s">
        <v>2458</v>
      </c>
      <c r="E327" s="74" t="s">
        <v>2395</v>
      </c>
      <c r="F327" s="56" t="s">
        <v>2022</v>
      </c>
      <c r="G327" s="56" t="s">
        <v>2237</v>
      </c>
    </row>
    <row r="328" spans="1:7" ht="17.100000000000001">
      <c r="A328" s="75" t="s">
        <v>2460</v>
      </c>
      <c r="B328" s="75"/>
      <c r="C328" s="75"/>
      <c r="D328" s="75"/>
      <c r="E328" s="76"/>
      <c r="F328" s="75"/>
      <c r="G328" s="75"/>
    </row>
    <row r="329" spans="1:7">
      <c r="A329" s="56" t="s">
        <v>2287</v>
      </c>
      <c r="B329" s="56" t="s">
        <v>2248</v>
      </c>
      <c r="C329" s="56" t="s">
        <v>2288</v>
      </c>
      <c r="D329" s="56" t="s">
        <v>2458</v>
      </c>
      <c r="E329" s="74" t="s">
        <v>2395</v>
      </c>
      <c r="F329" s="56" t="s">
        <v>2022</v>
      </c>
      <c r="G329" s="56" t="s">
        <v>2237</v>
      </c>
    </row>
    <row r="330" spans="1:7">
      <c r="A330" s="56" t="s">
        <v>2289</v>
      </c>
      <c r="B330" s="56" t="s">
        <v>2248</v>
      </c>
      <c r="C330" s="56" t="s">
        <v>2254</v>
      </c>
      <c r="D330" s="56" t="s">
        <v>2458</v>
      </c>
      <c r="E330" s="74" t="s">
        <v>2395</v>
      </c>
      <c r="F330" s="56" t="s">
        <v>2022</v>
      </c>
      <c r="G330" s="56" t="s">
        <v>2237</v>
      </c>
    </row>
    <row r="331" spans="1:7">
      <c r="A331" s="56" t="s">
        <v>2290</v>
      </c>
      <c r="B331" s="56" t="s">
        <v>2248</v>
      </c>
      <c r="C331" s="56" t="s">
        <v>2254</v>
      </c>
      <c r="D331" s="56" t="s">
        <v>2458</v>
      </c>
      <c r="E331" s="74" t="s">
        <v>2395</v>
      </c>
      <c r="F331" s="56" t="s">
        <v>2022</v>
      </c>
      <c r="G331" s="56" t="s">
        <v>2237</v>
      </c>
    </row>
    <row r="332" spans="1:7">
      <c r="A332" s="56" t="s">
        <v>2291</v>
      </c>
      <c r="B332" s="56" t="s">
        <v>2292</v>
      </c>
      <c r="C332" s="56" t="s">
        <v>2254</v>
      </c>
      <c r="D332" s="56" t="s">
        <v>2458</v>
      </c>
      <c r="E332" s="74" t="s">
        <v>2395</v>
      </c>
      <c r="F332" s="56" t="s">
        <v>2022</v>
      </c>
      <c r="G332" s="56" t="s">
        <v>2237</v>
      </c>
    </row>
    <row r="333" spans="1:7">
      <c r="A333" s="56" t="s">
        <v>2293</v>
      </c>
      <c r="B333" s="56"/>
      <c r="C333" s="56" t="s">
        <v>2254</v>
      </c>
      <c r="D333" s="56" t="s">
        <v>2458</v>
      </c>
      <c r="E333" s="74" t="s">
        <v>2395</v>
      </c>
      <c r="F333" s="56" t="s">
        <v>2022</v>
      </c>
      <c r="G333" s="56" t="s">
        <v>2237</v>
      </c>
    </row>
    <row r="334" spans="1:7">
      <c r="A334" s="56" t="s">
        <v>2294</v>
      </c>
      <c r="B334" s="56"/>
      <c r="C334" s="56" t="s">
        <v>2254</v>
      </c>
      <c r="D334" s="56" t="s">
        <v>2458</v>
      </c>
      <c r="E334" s="74" t="s">
        <v>2395</v>
      </c>
      <c r="F334" s="56" t="s">
        <v>2022</v>
      </c>
      <c r="G334" s="56" t="s">
        <v>2237</v>
      </c>
    </row>
    <row r="335" spans="1:7">
      <c r="A335" s="56" t="s">
        <v>2295</v>
      </c>
      <c r="B335" s="56"/>
      <c r="C335" s="56" t="s">
        <v>2254</v>
      </c>
      <c r="D335" s="56" t="s">
        <v>2458</v>
      </c>
      <c r="E335" s="74" t="s">
        <v>2395</v>
      </c>
      <c r="F335" s="56" t="s">
        <v>2022</v>
      </c>
      <c r="G335" s="56" t="s">
        <v>2237</v>
      </c>
    </row>
    <row r="336" spans="1:7" ht="17.100000000000001">
      <c r="A336" s="75" t="s">
        <v>2461</v>
      </c>
      <c r="B336" s="75"/>
      <c r="C336" s="75"/>
      <c r="D336" s="75"/>
      <c r="E336" s="76"/>
      <c r="F336" s="75"/>
      <c r="G336" s="75"/>
    </row>
    <row r="337" spans="1:7">
      <c r="A337" s="57" t="s">
        <v>2302</v>
      </c>
      <c r="B337" s="57"/>
      <c r="C337" s="57" t="s">
        <v>2303</v>
      </c>
      <c r="D337" s="57" t="s">
        <v>2458</v>
      </c>
      <c r="E337" s="58" t="s">
        <v>2462</v>
      </c>
      <c r="F337" s="58" t="s">
        <v>2423</v>
      </c>
      <c r="G337" s="57" t="s">
        <v>2237</v>
      </c>
    </row>
    <row r="338" spans="1:7">
      <c r="A338" s="56" t="s">
        <v>2304</v>
      </c>
      <c r="B338" s="56"/>
      <c r="C338" s="56" t="s">
        <v>2254</v>
      </c>
      <c r="D338" s="56" t="s">
        <v>2458</v>
      </c>
      <c r="E338" s="74" t="s">
        <v>2395</v>
      </c>
      <c r="F338" s="56" t="s">
        <v>2022</v>
      </c>
      <c r="G338" s="56" t="s">
        <v>2237</v>
      </c>
    </row>
    <row r="339" spans="1:7">
      <c r="A339" s="56" t="s">
        <v>2305</v>
      </c>
      <c r="B339" s="56"/>
      <c r="C339" s="56" t="s">
        <v>2254</v>
      </c>
      <c r="D339" s="56" t="s">
        <v>2458</v>
      </c>
      <c r="E339" s="74" t="s">
        <v>2395</v>
      </c>
      <c r="F339" s="56" t="s">
        <v>2022</v>
      </c>
      <c r="G339" s="56" t="s">
        <v>2237</v>
      </c>
    </row>
    <row r="340" spans="1:7" ht="17.100000000000001">
      <c r="A340" s="75" t="s">
        <v>2463</v>
      </c>
      <c r="B340" s="75"/>
      <c r="C340" s="75"/>
      <c r="D340" s="75"/>
      <c r="E340" s="76"/>
      <c r="F340" s="75"/>
      <c r="G340" s="75"/>
    </row>
    <row r="341" spans="1:7">
      <c r="A341" s="56" t="s">
        <v>2320</v>
      </c>
      <c r="B341" s="56"/>
      <c r="C341" s="56" t="s">
        <v>2254</v>
      </c>
      <c r="D341" s="56" t="s">
        <v>2458</v>
      </c>
      <c r="E341" s="74" t="s">
        <v>2395</v>
      </c>
      <c r="F341" s="56" t="s">
        <v>2022</v>
      </c>
      <c r="G341" s="56" t="s">
        <v>2237</v>
      </c>
    </row>
    <row r="342" spans="1:7" ht="17.100000000000001">
      <c r="A342" s="75" t="s">
        <v>2464</v>
      </c>
      <c r="B342" s="75"/>
      <c r="C342" s="75"/>
      <c r="D342" s="75"/>
      <c r="E342" s="76"/>
      <c r="F342" s="75"/>
      <c r="G342" s="75"/>
    </row>
    <row r="343" spans="1:7">
      <c r="A343" s="56" t="s">
        <v>2403</v>
      </c>
      <c r="B343" s="56" t="s">
        <v>2331</v>
      </c>
      <c r="C343" s="56" t="s">
        <v>2390</v>
      </c>
      <c r="D343" s="56" t="s">
        <v>2458</v>
      </c>
      <c r="E343" s="74" t="s">
        <v>2392</v>
      </c>
      <c r="F343" s="56" t="s">
        <v>2022</v>
      </c>
      <c r="G343" s="56" t="s">
        <v>2404</v>
      </c>
    </row>
    <row r="344" spans="1:7">
      <c r="A344" s="56" t="s">
        <v>2405</v>
      </c>
      <c r="B344" s="56" t="s">
        <v>2406</v>
      </c>
      <c r="C344" s="56" t="s">
        <v>2390</v>
      </c>
      <c r="D344" s="56" t="s">
        <v>2458</v>
      </c>
      <c r="E344" s="74" t="s">
        <v>2392</v>
      </c>
      <c r="F344" s="56" t="s">
        <v>2022</v>
      </c>
      <c r="G344" s="56" t="s">
        <v>2407</v>
      </c>
    </row>
    <row r="345" spans="1:7">
      <c r="A345" s="56" t="s">
        <v>2342</v>
      </c>
      <c r="B345" s="56"/>
      <c r="C345" s="56" t="s">
        <v>2254</v>
      </c>
      <c r="D345" s="56" t="s">
        <v>2458</v>
      </c>
      <c r="E345" s="74" t="s">
        <v>2395</v>
      </c>
      <c r="F345" s="56" t="s">
        <v>2022</v>
      </c>
      <c r="G345" s="56" t="s">
        <v>2237</v>
      </c>
    </row>
    <row r="346" spans="1:7" ht="17.100000000000001">
      <c r="A346" s="75" t="s">
        <v>2465</v>
      </c>
      <c r="B346" s="75"/>
      <c r="C346" s="75"/>
      <c r="D346" s="75"/>
      <c r="E346" s="76"/>
      <c r="F346" s="75"/>
      <c r="G346" s="75"/>
    </row>
    <row r="347" spans="1:7">
      <c r="A347" s="56" t="s">
        <v>2409</v>
      </c>
      <c r="B347" s="56" t="s">
        <v>2236</v>
      </c>
      <c r="C347" s="56" t="s">
        <v>2390</v>
      </c>
      <c r="D347" s="56" t="s">
        <v>2458</v>
      </c>
      <c r="E347" s="74" t="s">
        <v>2392</v>
      </c>
      <c r="F347" s="56" t="s">
        <v>2022</v>
      </c>
      <c r="G347" s="56" t="s">
        <v>2237</v>
      </c>
    </row>
    <row r="348" spans="1:7">
      <c r="A348" s="56" t="s">
        <v>2410</v>
      </c>
      <c r="B348" s="56" t="s">
        <v>2236</v>
      </c>
      <c r="C348" s="56" t="s">
        <v>2411</v>
      </c>
      <c r="D348" s="56" t="s">
        <v>2458</v>
      </c>
      <c r="E348" s="74" t="s">
        <v>2412</v>
      </c>
      <c r="F348" s="56" t="s">
        <v>2022</v>
      </c>
      <c r="G348" s="56" t="s">
        <v>2413</v>
      </c>
    </row>
    <row r="349" spans="1:7" ht="17.100000000000001">
      <c r="A349" s="75" t="s">
        <v>2466</v>
      </c>
      <c r="B349" s="75"/>
      <c r="C349" s="75"/>
      <c r="D349" s="75"/>
      <c r="E349" s="76"/>
      <c r="F349" s="75"/>
      <c r="G349" s="75"/>
    </row>
    <row r="350" spans="1:7">
      <c r="A350" s="56" t="s">
        <v>2416</v>
      </c>
      <c r="B350" s="56"/>
      <c r="C350" s="56" t="s">
        <v>2390</v>
      </c>
      <c r="D350" s="56" t="s">
        <v>2458</v>
      </c>
      <c r="E350" s="74" t="s">
        <v>2392</v>
      </c>
      <c r="F350" s="56" t="s">
        <v>2022</v>
      </c>
      <c r="G350" s="56" t="s">
        <v>2417</v>
      </c>
    </row>
    <row r="351" spans="1:7">
      <c r="A351" s="56" t="s">
        <v>2418</v>
      </c>
      <c r="B351" s="56" t="s">
        <v>2385</v>
      </c>
      <c r="C351" s="56" t="s">
        <v>2390</v>
      </c>
      <c r="D351" s="56" t="s">
        <v>2458</v>
      </c>
      <c r="E351" s="74" t="s">
        <v>2392</v>
      </c>
      <c r="F351" s="56" t="s">
        <v>2022</v>
      </c>
      <c r="G351" s="56" t="s">
        <v>2419</v>
      </c>
    </row>
    <row r="352" spans="1:7">
      <c r="A352" s="56" t="s">
        <v>2382</v>
      </c>
      <c r="B352" s="56"/>
      <c r="C352" s="56" t="s">
        <v>2254</v>
      </c>
      <c r="D352" s="56" t="s">
        <v>2458</v>
      </c>
      <c r="E352" s="74" t="s">
        <v>2395</v>
      </c>
      <c r="F352" s="56" t="s">
        <v>2022</v>
      </c>
      <c r="G352" s="56" t="s">
        <v>2237</v>
      </c>
    </row>
    <row r="353" spans="1:7" ht="17.100000000000001">
      <c r="A353" s="75" t="s">
        <v>2467</v>
      </c>
      <c r="B353" s="75"/>
      <c r="C353" s="75"/>
      <c r="D353" s="75"/>
      <c r="E353" s="76"/>
      <c r="F353" s="75"/>
      <c r="G353" s="75"/>
    </row>
    <row r="354" spans="1:7">
      <c r="A354" s="56" t="s">
        <v>2230</v>
      </c>
      <c r="B354" s="56" t="s">
        <v>2231</v>
      </c>
      <c r="C354" s="56" t="s">
        <v>1562</v>
      </c>
      <c r="D354" s="56" t="s">
        <v>2468</v>
      </c>
      <c r="E354" s="74" t="s">
        <v>549</v>
      </c>
      <c r="F354" s="56" t="s">
        <v>2041</v>
      </c>
      <c r="G354" s="56" t="s">
        <v>2233</v>
      </c>
    </row>
    <row r="355" spans="1:7" ht="17.100000000000001">
      <c r="A355" s="75" t="s">
        <v>2469</v>
      </c>
      <c r="B355" s="75"/>
      <c r="C355" s="75"/>
      <c r="D355" s="75"/>
      <c r="E355" s="76"/>
      <c r="F355" s="75"/>
      <c r="G355" s="75"/>
    </row>
    <row r="356" spans="1:7">
      <c r="A356" s="56" t="s">
        <v>2253</v>
      </c>
      <c r="B356" s="56" t="s">
        <v>2236</v>
      </c>
      <c r="C356" s="56" t="s">
        <v>2254</v>
      </c>
      <c r="D356" s="56" t="s">
        <v>2468</v>
      </c>
      <c r="E356" s="74" t="s">
        <v>2470</v>
      </c>
      <c r="F356" s="56" t="s">
        <v>2049</v>
      </c>
      <c r="G356" s="56" t="s">
        <v>2237</v>
      </c>
    </row>
    <row r="357" spans="1:7" ht="17.100000000000001">
      <c r="A357" s="75" t="s">
        <v>2471</v>
      </c>
      <c r="B357" s="75"/>
      <c r="C357" s="75"/>
      <c r="D357" s="75"/>
      <c r="E357" s="76"/>
      <c r="F357" s="75"/>
      <c r="G357" s="75"/>
    </row>
    <row r="358" spans="1:7">
      <c r="A358" s="56" t="s">
        <v>2262</v>
      </c>
      <c r="B358" s="56" t="s">
        <v>2261</v>
      </c>
      <c r="C358" s="56" t="s">
        <v>2263</v>
      </c>
      <c r="D358" s="56" t="s">
        <v>2468</v>
      </c>
      <c r="E358" s="74" t="s">
        <v>2472</v>
      </c>
      <c r="F358" s="56" t="s">
        <v>2045</v>
      </c>
      <c r="G358" s="56" t="s">
        <v>2237</v>
      </c>
    </row>
    <row r="359" spans="1:7" ht="17.100000000000001">
      <c r="A359" s="75" t="s">
        <v>2473</v>
      </c>
      <c r="B359" s="75"/>
      <c r="C359" s="75"/>
      <c r="D359" s="75"/>
      <c r="E359" s="76"/>
      <c r="F359" s="75"/>
      <c r="G359" s="75"/>
    </row>
    <row r="360" spans="1:7">
      <c r="A360" s="56" t="s">
        <v>2474</v>
      </c>
      <c r="B360" s="56" t="s">
        <v>2375</v>
      </c>
      <c r="C360" s="56" t="s">
        <v>2475</v>
      </c>
      <c r="D360" s="56" t="s">
        <v>2468</v>
      </c>
      <c r="E360" s="74" t="s">
        <v>2472</v>
      </c>
      <c r="F360" s="56" t="s">
        <v>2045</v>
      </c>
      <c r="G360" s="56" t="s">
        <v>2237</v>
      </c>
    </row>
    <row r="361" spans="1:7">
      <c r="A361" s="56" t="s">
        <v>2428</v>
      </c>
      <c r="B361" s="56"/>
      <c r="C361" s="56" t="s">
        <v>549</v>
      </c>
      <c r="D361" s="56" t="s">
        <v>2468</v>
      </c>
      <c r="E361" s="74" t="s">
        <v>549</v>
      </c>
      <c r="F361" s="56" t="s">
        <v>2041</v>
      </c>
      <c r="G361" s="56" t="s">
        <v>2429</v>
      </c>
    </row>
    <row r="362" spans="1:7">
      <c r="A362" s="56" t="s">
        <v>2430</v>
      </c>
      <c r="B362" s="56" t="s">
        <v>2273</v>
      </c>
      <c r="C362" s="56" t="s">
        <v>549</v>
      </c>
      <c r="D362" s="56" t="s">
        <v>2468</v>
      </c>
      <c r="E362" s="74" t="s">
        <v>549</v>
      </c>
      <c r="F362" s="56" t="s">
        <v>2041</v>
      </c>
      <c r="G362" s="56" t="s">
        <v>2431</v>
      </c>
    </row>
    <row r="363" spans="1:7">
      <c r="A363" s="57" t="s">
        <v>2276</v>
      </c>
      <c r="B363" s="57" t="s">
        <v>2273</v>
      </c>
      <c r="C363" s="57" t="s">
        <v>2277</v>
      </c>
      <c r="D363" s="57" t="s">
        <v>2468</v>
      </c>
      <c r="E363" s="58" t="s">
        <v>2476</v>
      </c>
      <c r="F363" s="58" t="s">
        <v>2423</v>
      </c>
      <c r="G363" s="57" t="s">
        <v>2278</v>
      </c>
    </row>
    <row r="364" spans="1:7" ht="17.100000000000001">
      <c r="A364" s="75" t="s">
        <v>2477</v>
      </c>
      <c r="B364" s="75"/>
      <c r="C364" s="75"/>
      <c r="D364" s="75"/>
      <c r="E364" s="76"/>
      <c r="F364" s="75"/>
      <c r="G364" s="75"/>
    </row>
    <row r="365" spans="1:7">
      <c r="A365" s="56" t="s">
        <v>2287</v>
      </c>
      <c r="B365" s="56" t="s">
        <v>2248</v>
      </c>
      <c r="C365" s="56" t="s">
        <v>2288</v>
      </c>
      <c r="D365" s="56" t="s">
        <v>2468</v>
      </c>
      <c r="E365" s="74" t="s">
        <v>2470</v>
      </c>
      <c r="F365" s="56" t="s">
        <v>2049</v>
      </c>
      <c r="G365" s="56" t="s">
        <v>2237</v>
      </c>
    </row>
    <row r="366" spans="1:7">
      <c r="A366" s="56" t="s">
        <v>2289</v>
      </c>
      <c r="B366" s="56" t="s">
        <v>2248</v>
      </c>
      <c r="C366" s="56" t="s">
        <v>2254</v>
      </c>
      <c r="D366" s="56" t="s">
        <v>2468</v>
      </c>
      <c r="E366" s="74" t="s">
        <v>2470</v>
      </c>
      <c r="F366" s="56" t="s">
        <v>2049</v>
      </c>
      <c r="G366" s="56" t="s">
        <v>2237</v>
      </c>
    </row>
    <row r="367" spans="1:7">
      <c r="A367" s="56" t="s">
        <v>2290</v>
      </c>
      <c r="B367" s="56" t="s">
        <v>2248</v>
      </c>
      <c r="C367" s="56" t="s">
        <v>2254</v>
      </c>
      <c r="D367" s="56" t="s">
        <v>2468</v>
      </c>
      <c r="E367" s="74" t="s">
        <v>2470</v>
      </c>
      <c r="F367" s="56" t="s">
        <v>2049</v>
      </c>
      <c r="G367" s="56" t="s">
        <v>2237</v>
      </c>
    </row>
    <row r="368" spans="1:7">
      <c r="A368" s="56" t="s">
        <v>2291</v>
      </c>
      <c r="B368" s="56" t="s">
        <v>2292</v>
      </c>
      <c r="C368" s="56" t="s">
        <v>2254</v>
      </c>
      <c r="D368" s="56" t="s">
        <v>2468</v>
      </c>
      <c r="E368" s="74" t="s">
        <v>2470</v>
      </c>
      <c r="F368" s="56" t="s">
        <v>2049</v>
      </c>
      <c r="G368" s="56" t="s">
        <v>2237</v>
      </c>
    </row>
    <row r="369" spans="1:7">
      <c r="A369" s="56" t="s">
        <v>2293</v>
      </c>
      <c r="B369" s="56"/>
      <c r="C369" s="56" t="s">
        <v>2254</v>
      </c>
      <c r="D369" s="56" t="s">
        <v>2468</v>
      </c>
      <c r="E369" s="74" t="s">
        <v>2470</v>
      </c>
      <c r="F369" s="56" t="s">
        <v>2049</v>
      </c>
      <c r="G369" s="56" t="s">
        <v>2237</v>
      </c>
    </row>
    <row r="370" spans="1:7">
      <c r="A370" s="56" t="s">
        <v>2294</v>
      </c>
      <c r="B370" s="56"/>
      <c r="C370" s="56" t="s">
        <v>2254</v>
      </c>
      <c r="D370" s="56" t="s">
        <v>2468</v>
      </c>
      <c r="E370" s="74" t="s">
        <v>2470</v>
      </c>
      <c r="F370" s="56" t="s">
        <v>2049</v>
      </c>
      <c r="G370" s="56" t="s">
        <v>2237</v>
      </c>
    </row>
    <row r="371" spans="1:7">
      <c r="A371" s="56" t="s">
        <v>2295</v>
      </c>
      <c r="B371" s="56"/>
      <c r="C371" s="56" t="s">
        <v>2254</v>
      </c>
      <c r="D371" s="56" t="s">
        <v>2468</v>
      </c>
      <c r="E371" s="74" t="s">
        <v>2470</v>
      </c>
      <c r="F371" s="56" t="s">
        <v>2049</v>
      </c>
      <c r="G371" s="56" t="s">
        <v>2237</v>
      </c>
    </row>
    <row r="372" spans="1:7" ht="17.100000000000001">
      <c r="A372" s="75" t="s">
        <v>2478</v>
      </c>
      <c r="B372" s="75"/>
      <c r="C372" s="75"/>
      <c r="D372" s="75"/>
      <c r="E372" s="76"/>
      <c r="F372" s="75"/>
      <c r="G372" s="75"/>
    </row>
    <row r="373" spans="1:7">
      <c r="A373" s="56" t="s">
        <v>2304</v>
      </c>
      <c r="B373" s="56"/>
      <c r="C373" s="56" t="s">
        <v>2254</v>
      </c>
      <c r="D373" s="56" t="s">
        <v>2468</v>
      </c>
      <c r="E373" s="74" t="s">
        <v>2470</v>
      </c>
      <c r="F373" s="56" t="s">
        <v>2049</v>
      </c>
      <c r="G373" s="56" t="s">
        <v>2237</v>
      </c>
    </row>
    <row r="374" spans="1:7">
      <c r="A374" s="56" t="s">
        <v>2305</v>
      </c>
      <c r="B374" s="56"/>
      <c r="C374" s="56" t="s">
        <v>2254</v>
      </c>
      <c r="D374" s="56" t="s">
        <v>2468</v>
      </c>
      <c r="E374" s="74" t="s">
        <v>2470</v>
      </c>
      <c r="F374" s="56" t="s">
        <v>2049</v>
      </c>
      <c r="G374" s="56" t="s">
        <v>2237</v>
      </c>
    </row>
    <row r="375" spans="1:7" ht="17.100000000000001">
      <c r="A375" s="75" t="s">
        <v>2479</v>
      </c>
      <c r="B375" s="75"/>
      <c r="C375" s="75"/>
      <c r="D375" s="75"/>
      <c r="E375" s="76"/>
      <c r="F375" s="75"/>
      <c r="G375" s="75"/>
    </row>
    <row r="376" spans="1:7">
      <c r="A376" s="56" t="s">
        <v>2312</v>
      </c>
      <c r="B376" s="56"/>
      <c r="C376" s="56" t="s">
        <v>2313</v>
      </c>
      <c r="D376" s="56" t="s">
        <v>2468</v>
      </c>
      <c r="E376" s="74" t="s">
        <v>549</v>
      </c>
      <c r="F376" s="56" t="s">
        <v>2041</v>
      </c>
      <c r="G376" s="56" t="s">
        <v>2237</v>
      </c>
    </row>
    <row r="377" spans="1:7">
      <c r="A377" s="56" t="s">
        <v>2320</v>
      </c>
      <c r="B377" s="56"/>
      <c r="C377" s="56" t="s">
        <v>2254</v>
      </c>
      <c r="D377" s="56" t="s">
        <v>2468</v>
      </c>
      <c r="E377" s="74" t="s">
        <v>2470</v>
      </c>
      <c r="F377" s="56" t="s">
        <v>2049</v>
      </c>
      <c r="G377" s="56" t="s">
        <v>2237</v>
      </c>
    </row>
    <row r="378" spans="1:7" ht="17.100000000000001">
      <c r="A378" s="75" t="s">
        <v>2480</v>
      </c>
      <c r="B378" s="75"/>
      <c r="C378" s="75"/>
      <c r="D378" s="75"/>
      <c r="E378" s="76"/>
      <c r="F378" s="75"/>
      <c r="G378" s="75"/>
    </row>
    <row r="379" spans="1:7">
      <c r="A379" s="56" t="s">
        <v>2438</v>
      </c>
      <c r="B379" s="56" t="s">
        <v>2337</v>
      </c>
      <c r="C379" s="56" t="s">
        <v>549</v>
      </c>
      <c r="D379" s="56" t="s">
        <v>2468</v>
      </c>
      <c r="E379" s="74" t="s">
        <v>549</v>
      </c>
      <c r="F379" s="56" t="s">
        <v>2041</v>
      </c>
      <c r="G379" s="56" t="s">
        <v>2439</v>
      </c>
    </row>
    <row r="380" spans="1:7">
      <c r="A380" s="56" t="s">
        <v>2440</v>
      </c>
      <c r="B380" s="56" t="s">
        <v>2334</v>
      </c>
      <c r="C380" s="56" t="s">
        <v>2441</v>
      </c>
      <c r="D380" s="56" t="s">
        <v>2468</v>
      </c>
      <c r="E380" s="74" t="s">
        <v>549</v>
      </c>
      <c r="F380" s="56" t="s">
        <v>2041</v>
      </c>
      <c r="G380" s="56" t="s">
        <v>2442</v>
      </c>
    </row>
    <row r="381" spans="1:7">
      <c r="A381" s="56" t="s">
        <v>2342</v>
      </c>
      <c r="B381" s="56"/>
      <c r="C381" s="56" t="s">
        <v>2254</v>
      </c>
      <c r="D381" s="56" t="s">
        <v>2468</v>
      </c>
      <c r="E381" s="74" t="s">
        <v>2470</v>
      </c>
      <c r="F381" s="56" t="s">
        <v>2049</v>
      </c>
      <c r="G381" s="56" t="s">
        <v>2237</v>
      </c>
    </row>
    <row r="382" spans="1:7" ht="17.100000000000001">
      <c r="A382" s="75" t="s">
        <v>2481</v>
      </c>
      <c r="B382" s="75"/>
      <c r="C382" s="75"/>
      <c r="D382" s="75"/>
      <c r="E382" s="76"/>
      <c r="F382" s="75"/>
      <c r="G382" s="75"/>
    </row>
    <row r="383" spans="1:7">
      <c r="A383" s="56" t="s">
        <v>2410</v>
      </c>
      <c r="B383" s="56" t="s">
        <v>2236</v>
      </c>
      <c r="C383" s="56" t="s">
        <v>2411</v>
      </c>
      <c r="D383" s="56" t="s">
        <v>2468</v>
      </c>
      <c r="E383" s="74" t="s">
        <v>2444</v>
      </c>
      <c r="F383" s="56" t="s">
        <v>2049</v>
      </c>
      <c r="G383" s="56" t="s">
        <v>2413</v>
      </c>
    </row>
    <row r="384" spans="1:7">
      <c r="A384" s="56" t="s">
        <v>2445</v>
      </c>
      <c r="B384" s="56" t="s">
        <v>2236</v>
      </c>
      <c r="C384" s="56" t="s">
        <v>549</v>
      </c>
      <c r="D384" s="56" t="s">
        <v>2468</v>
      </c>
      <c r="E384" s="74" t="s">
        <v>549</v>
      </c>
      <c r="F384" s="56" t="s">
        <v>2041</v>
      </c>
      <c r="G384" s="56" t="s">
        <v>2446</v>
      </c>
    </row>
    <row r="385" spans="1:7">
      <c r="A385" s="56" t="s">
        <v>2447</v>
      </c>
      <c r="B385" s="56" t="s">
        <v>2236</v>
      </c>
      <c r="C385" s="56" t="s">
        <v>549</v>
      </c>
      <c r="D385" s="56" t="s">
        <v>2468</v>
      </c>
      <c r="E385" s="74" t="s">
        <v>549</v>
      </c>
      <c r="F385" s="56" t="s">
        <v>2041</v>
      </c>
      <c r="G385" s="56" t="s">
        <v>2448</v>
      </c>
    </row>
    <row r="386" spans="1:7" ht="17.100000000000001">
      <c r="A386" s="75" t="s">
        <v>2482</v>
      </c>
      <c r="B386" s="75"/>
      <c r="C386" s="75"/>
      <c r="D386" s="75"/>
      <c r="E386" s="76"/>
      <c r="F386" s="75"/>
      <c r="G386" s="75"/>
    </row>
    <row r="387" spans="1:7">
      <c r="A387" s="56" t="s">
        <v>2450</v>
      </c>
      <c r="B387" s="56"/>
      <c r="C387" s="56" t="s">
        <v>549</v>
      </c>
      <c r="D387" s="56" t="s">
        <v>2468</v>
      </c>
      <c r="E387" s="74" t="s">
        <v>549</v>
      </c>
      <c r="F387" s="56" t="s">
        <v>2041</v>
      </c>
      <c r="G387" s="56" t="s">
        <v>2237</v>
      </c>
    </row>
    <row r="388" spans="1:7" ht="17.100000000000001">
      <c r="A388" s="75" t="s">
        <v>2483</v>
      </c>
      <c r="B388" s="75"/>
      <c r="C388" s="75"/>
      <c r="D388" s="75"/>
      <c r="E388" s="76"/>
      <c r="F388" s="75"/>
      <c r="G388" s="75"/>
    </row>
    <row r="389" spans="1:7">
      <c r="A389" s="56" t="s">
        <v>2382</v>
      </c>
      <c r="B389" s="56"/>
      <c r="C389" s="56" t="s">
        <v>2254</v>
      </c>
      <c r="D389" s="56" t="s">
        <v>2468</v>
      </c>
      <c r="E389" s="74" t="s">
        <v>2470</v>
      </c>
      <c r="F389" s="56" t="s">
        <v>2049</v>
      </c>
      <c r="G389" s="56" t="s">
        <v>2237</v>
      </c>
    </row>
    <row r="390" spans="1:7" ht="17.100000000000001">
      <c r="A390" s="75" t="s">
        <v>2484</v>
      </c>
      <c r="B390" s="75"/>
      <c r="C390" s="75"/>
      <c r="D390" s="75"/>
      <c r="E390" s="76"/>
      <c r="F390" s="75"/>
      <c r="G390" s="75"/>
    </row>
    <row r="391" spans="1:7">
      <c r="A391" s="56" t="s">
        <v>2389</v>
      </c>
      <c r="B391" s="56" t="s">
        <v>2241</v>
      </c>
      <c r="C391" s="56" t="s">
        <v>2390</v>
      </c>
      <c r="D391" s="56" t="s">
        <v>2485</v>
      </c>
      <c r="E391" s="74" t="s">
        <v>2392</v>
      </c>
      <c r="F391" s="56" t="s">
        <v>2076</v>
      </c>
      <c r="G391" s="56" t="s">
        <v>2393</v>
      </c>
    </row>
    <row r="392" spans="1:7">
      <c r="A392" s="56" t="s">
        <v>2230</v>
      </c>
      <c r="B392" s="56" t="s">
        <v>2231</v>
      </c>
      <c r="C392" s="56" t="s">
        <v>1562</v>
      </c>
      <c r="D392" s="56" t="s">
        <v>2485</v>
      </c>
      <c r="E392" s="74" t="s">
        <v>108</v>
      </c>
      <c r="F392" s="56" t="s">
        <v>2074</v>
      </c>
      <c r="G392" s="56" t="s">
        <v>2233</v>
      </c>
    </row>
    <row r="393" spans="1:7">
      <c r="A393" s="56" t="s">
        <v>2235</v>
      </c>
      <c r="B393" s="56" t="s">
        <v>2236</v>
      </c>
      <c r="C393" s="56" t="s">
        <v>1212</v>
      </c>
      <c r="D393" s="56" t="s">
        <v>2485</v>
      </c>
      <c r="E393" s="74" t="s">
        <v>1212</v>
      </c>
      <c r="F393" s="56" t="s">
        <v>2070</v>
      </c>
      <c r="G393" s="56" t="s">
        <v>2237</v>
      </c>
    </row>
    <row r="394" spans="1:7">
      <c r="A394" s="56" t="s">
        <v>2235</v>
      </c>
      <c r="B394" s="56" t="s">
        <v>2236</v>
      </c>
      <c r="C394" s="56" t="s">
        <v>1212</v>
      </c>
      <c r="D394" s="56" t="s">
        <v>2486</v>
      </c>
      <c r="E394" s="74" t="s">
        <v>1212</v>
      </c>
      <c r="F394" s="56" t="s">
        <v>2082</v>
      </c>
      <c r="G394" s="56" t="s">
        <v>2237</v>
      </c>
    </row>
    <row r="395" spans="1:7">
      <c r="A395" s="56" t="s">
        <v>2238</v>
      </c>
      <c r="B395" s="56"/>
      <c r="C395" s="56" t="s">
        <v>2239</v>
      </c>
      <c r="D395" s="56" t="s">
        <v>2485</v>
      </c>
      <c r="E395" s="74" t="s">
        <v>2422</v>
      </c>
      <c r="F395" s="56" t="s">
        <v>2074</v>
      </c>
      <c r="G395" s="56" t="s">
        <v>2237</v>
      </c>
    </row>
    <row r="396" spans="1:7">
      <c r="A396" s="56" t="s">
        <v>2240</v>
      </c>
      <c r="B396" s="56" t="s">
        <v>2241</v>
      </c>
      <c r="C396" s="56" t="s">
        <v>108</v>
      </c>
      <c r="D396" s="56" t="s">
        <v>2485</v>
      </c>
      <c r="E396" s="74" t="s">
        <v>108</v>
      </c>
      <c r="F396" s="56" t="s">
        <v>2074</v>
      </c>
      <c r="G396" s="56" t="s">
        <v>2237</v>
      </c>
    </row>
    <row r="397" spans="1:7">
      <c r="A397" s="56" t="s">
        <v>2242</v>
      </c>
      <c r="B397" s="56" t="s">
        <v>2243</v>
      </c>
      <c r="C397" s="56" t="s">
        <v>108</v>
      </c>
      <c r="D397" s="56" t="s">
        <v>2485</v>
      </c>
      <c r="E397" s="74" t="s">
        <v>108</v>
      </c>
      <c r="F397" s="56" t="s">
        <v>2074</v>
      </c>
      <c r="G397" s="56" t="s">
        <v>2244</v>
      </c>
    </row>
    <row r="398" spans="1:7">
      <c r="A398" s="56" t="s">
        <v>2245</v>
      </c>
      <c r="B398" s="56"/>
      <c r="C398" s="56" t="s">
        <v>108</v>
      </c>
      <c r="D398" s="56" t="s">
        <v>2485</v>
      </c>
      <c r="E398" s="74" t="s">
        <v>108</v>
      </c>
      <c r="F398" s="56" t="s">
        <v>2074</v>
      </c>
      <c r="G398" s="56" t="s">
        <v>2237</v>
      </c>
    </row>
    <row r="399" spans="1:7" ht="17.100000000000001">
      <c r="A399" s="75" t="s">
        <v>2487</v>
      </c>
      <c r="B399" s="75"/>
      <c r="C399" s="75"/>
      <c r="D399" s="75"/>
      <c r="E399" s="76"/>
      <c r="F399" s="75"/>
      <c r="G399" s="75"/>
    </row>
    <row r="400" spans="1:7">
      <c r="A400" s="56" t="s">
        <v>2247</v>
      </c>
      <c r="B400" s="56" t="s">
        <v>2248</v>
      </c>
      <c r="C400" s="56" t="s">
        <v>108</v>
      </c>
      <c r="D400" s="56" t="s">
        <v>2485</v>
      </c>
      <c r="E400" s="74" t="s">
        <v>108</v>
      </c>
      <c r="F400" s="56" t="s">
        <v>2074</v>
      </c>
      <c r="G400" s="56" t="s">
        <v>2237</v>
      </c>
    </row>
    <row r="401" spans="1:7">
      <c r="A401" s="56" t="s">
        <v>2249</v>
      </c>
      <c r="B401" s="56" t="s">
        <v>2250</v>
      </c>
      <c r="C401" s="56" t="s">
        <v>108</v>
      </c>
      <c r="D401" s="56" t="s">
        <v>2485</v>
      </c>
      <c r="E401" s="74" t="s">
        <v>108</v>
      </c>
      <c r="F401" s="56" t="s">
        <v>2074</v>
      </c>
      <c r="G401" s="56" t="s">
        <v>2251</v>
      </c>
    </row>
    <row r="402" spans="1:7">
      <c r="A402" s="56" t="s">
        <v>2252</v>
      </c>
      <c r="B402" s="56" t="s">
        <v>2250</v>
      </c>
      <c r="C402" s="56" t="s">
        <v>108</v>
      </c>
      <c r="D402" s="56" t="s">
        <v>2485</v>
      </c>
      <c r="E402" s="74" t="s">
        <v>108</v>
      </c>
      <c r="F402" s="56" t="s">
        <v>2074</v>
      </c>
      <c r="G402" s="56" t="s">
        <v>2237</v>
      </c>
    </row>
    <row r="403" spans="1:7">
      <c r="A403" s="56" t="s">
        <v>2253</v>
      </c>
      <c r="B403" s="56" t="s">
        <v>2236</v>
      </c>
      <c r="C403" s="56" t="s">
        <v>2254</v>
      </c>
      <c r="D403" s="56" t="s">
        <v>2485</v>
      </c>
      <c r="E403" s="74" t="s">
        <v>2488</v>
      </c>
      <c r="F403" s="56" t="s">
        <v>2076</v>
      </c>
      <c r="G403" s="56" t="s">
        <v>2237</v>
      </c>
    </row>
    <row r="404" spans="1:7">
      <c r="A404" s="56" t="s">
        <v>2256</v>
      </c>
      <c r="B404" s="56" t="s">
        <v>2257</v>
      </c>
      <c r="C404" s="56" t="s">
        <v>108</v>
      </c>
      <c r="D404" s="56" t="s">
        <v>2485</v>
      </c>
      <c r="E404" s="74" t="s">
        <v>108</v>
      </c>
      <c r="F404" s="56" t="s">
        <v>2074</v>
      </c>
      <c r="G404" s="56" t="s">
        <v>2258</v>
      </c>
    </row>
    <row r="405" spans="1:7" ht="17.100000000000001">
      <c r="A405" s="75" t="s">
        <v>2489</v>
      </c>
      <c r="B405" s="75"/>
      <c r="C405" s="75"/>
      <c r="D405" s="75"/>
      <c r="E405" s="76"/>
      <c r="F405" s="75"/>
      <c r="G405" s="75"/>
    </row>
    <row r="406" spans="1:7">
      <c r="A406" s="56" t="s">
        <v>2260</v>
      </c>
      <c r="B406" s="56" t="s">
        <v>2261</v>
      </c>
      <c r="C406" s="56" t="s">
        <v>108</v>
      </c>
      <c r="D406" s="56" t="s">
        <v>2485</v>
      </c>
      <c r="E406" s="74" t="s">
        <v>108</v>
      </c>
      <c r="F406" s="56" t="s">
        <v>2074</v>
      </c>
      <c r="G406" s="56" t="s">
        <v>2237</v>
      </c>
    </row>
    <row r="407" spans="1:7">
      <c r="A407" s="56" t="s">
        <v>2262</v>
      </c>
      <c r="B407" s="56" t="s">
        <v>2261</v>
      </c>
      <c r="C407" s="56" t="s">
        <v>2263</v>
      </c>
      <c r="D407" s="56" t="s">
        <v>2485</v>
      </c>
      <c r="E407" s="74" t="s">
        <v>2490</v>
      </c>
      <c r="F407" s="56" t="s">
        <v>2074</v>
      </c>
      <c r="G407" s="56" t="s">
        <v>2237</v>
      </c>
    </row>
    <row r="408" spans="1:7">
      <c r="A408" s="56" t="s">
        <v>2264</v>
      </c>
      <c r="B408" s="56" t="s">
        <v>2261</v>
      </c>
      <c r="C408" s="56" t="s">
        <v>2265</v>
      </c>
      <c r="D408" s="56" t="s">
        <v>2485</v>
      </c>
      <c r="E408" s="74" t="s">
        <v>108</v>
      </c>
      <c r="F408" s="56" t="s">
        <v>2074</v>
      </c>
      <c r="G408" s="56" t="s">
        <v>2266</v>
      </c>
    </row>
    <row r="409" spans="1:7">
      <c r="A409" s="56" t="s">
        <v>2267</v>
      </c>
      <c r="B409" s="56" t="s">
        <v>2261</v>
      </c>
      <c r="C409" s="56" t="s">
        <v>108</v>
      </c>
      <c r="D409" s="56" t="s">
        <v>2485</v>
      </c>
      <c r="E409" s="74" t="s">
        <v>108</v>
      </c>
      <c r="F409" s="56" t="s">
        <v>2074</v>
      </c>
      <c r="G409" s="56" t="s">
        <v>2237</v>
      </c>
    </row>
    <row r="410" spans="1:7" ht="17.100000000000001">
      <c r="A410" s="75" t="s">
        <v>2491</v>
      </c>
      <c r="B410" s="75"/>
      <c r="C410" s="75"/>
      <c r="D410" s="75"/>
      <c r="E410" s="76"/>
      <c r="F410" s="75"/>
      <c r="G410" s="75"/>
    </row>
    <row r="411" spans="1:7">
      <c r="A411" s="56" t="s">
        <v>2269</v>
      </c>
      <c r="B411" s="56" t="s">
        <v>2270</v>
      </c>
      <c r="C411" s="56" t="s">
        <v>2271</v>
      </c>
      <c r="D411" s="56" t="s">
        <v>2485</v>
      </c>
      <c r="E411" s="74" t="s">
        <v>108</v>
      </c>
      <c r="F411" s="56" t="s">
        <v>2074</v>
      </c>
      <c r="G411" s="56" t="s">
        <v>2237</v>
      </c>
    </row>
    <row r="412" spans="1:7">
      <c r="A412" s="56" t="s">
        <v>2272</v>
      </c>
      <c r="B412" s="56" t="s">
        <v>2273</v>
      </c>
      <c r="C412" s="56" t="s">
        <v>108</v>
      </c>
      <c r="D412" s="56" t="s">
        <v>2485</v>
      </c>
      <c r="E412" s="74" t="s">
        <v>108</v>
      </c>
      <c r="F412" s="56" t="s">
        <v>2074</v>
      </c>
      <c r="G412" s="56" t="s">
        <v>2237</v>
      </c>
    </row>
    <row r="413" spans="1:7">
      <c r="A413" s="56" t="s">
        <v>2274</v>
      </c>
      <c r="B413" s="56" t="s">
        <v>2270</v>
      </c>
      <c r="C413" s="56" t="s">
        <v>2275</v>
      </c>
      <c r="D413" s="56" t="s">
        <v>2485</v>
      </c>
      <c r="E413" s="74" t="s">
        <v>108</v>
      </c>
      <c r="F413" s="56" t="s">
        <v>2074</v>
      </c>
      <c r="G413" s="56" t="s">
        <v>2237</v>
      </c>
    </row>
    <row r="414" spans="1:7">
      <c r="A414" s="56" t="s">
        <v>2276</v>
      </c>
      <c r="B414" s="56" t="s">
        <v>2273</v>
      </c>
      <c r="C414" s="56" t="s">
        <v>2277</v>
      </c>
      <c r="D414" s="56" t="s">
        <v>2485</v>
      </c>
      <c r="E414" s="74" t="s">
        <v>108</v>
      </c>
      <c r="F414" s="56" t="s">
        <v>2074</v>
      </c>
      <c r="G414" s="56" t="s">
        <v>2278</v>
      </c>
    </row>
    <row r="415" spans="1:7">
      <c r="A415" s="56" t="s">
        <v>2279</v>
      </c>
      <c r="B415" s="56" t="s">
        <v>2280</v>
      </c>
      <c r="C415" s="56" t="s">
        <v>108</v>
      </c>
      <c r="D415" s="56" t="s">
        <v>2485</v>
      </c>
      <c r="E415" s="74" t="s">
        <v>108</v>
      </c>
      <c r="F415" s="56" t="s">
        <v>2074</v>
      </c>
      <c r="G415" s="56" t="s">
        <v>2281</v>
      </c>
    </row>
    <row r="416" spans="1:7">
      <c r="A416" s="56" t="s">
        <v>2282</v>
      </c>
      <c r="B416" s="56" t="s">
        <v>2280</v>
      </c>
      <c r="C416" s="56" t="s">
        <v>108</v>
      </c>
      <c r="D416" s="56" t="s">
        <v>2485</v>
      </c>
      <c r="E416" s="74" t="s">
        <v>108</v>
      </c>
      <c r="F416" s="56" t="s">
        <v>2074</v>
      </c>
      <c r="G416" s="56" t="s">
        <v>2237</v>
      </c>
    </row>
    <row r="417" spans="1:7" ht="17.100000000000001">
      <c r="A417" s="75" t="s">
        <v>2492</v>
      </c>
      <c r="B417" s="75"/>
      <c r="C417" s="75"/>
      <c r="D417" s="75"/>
      <c r="E417" s="76"/>
      <c r="F417" s="75"/>
      <c r="G417" s="75"/>
    </row>
    <row r="418" spans="1:7">
      <c r="A418" s="56" t="s">
        <v>2284</v>
      </c>
      <c r="B418" s="56" t="s">
        <v>2285</v>
      </c>
      <c r="C418" s="56" t="s">
        <v>108</v>
      </c>
      <c r="D418" s="56" t="s">
        <v>2485</v>
      </c>
      <c r="E418" s="74" t="s">
        <v>108</v>
      </c>
      <c r="F418" s="56" t="s">
        <v>2074</v>
      </c>
      <c r="G418" s="56" t="s">
        <v>2286</v>
      </c>
    </row>
    <row r="419" spans="1:7">
      <c r="A419" s="56" t="s">
        <v>2287</v>
      </c>
      <c r="B419" s="56" t="s">
        <v>2248</v>
      </c>
      <c r="C419" s="56" t="s">
        <v>2288</v>
      </c>
      <c r="D419" s="56" t="s">
        <v>2485</v>
      </c>
      <c r="E419" s="74" t="s">
        <v>2488</v>
      </c>
      <c r="F419" s="56" t="s">
        <v>2076</v>
      </c>
      <c r="G419" s="56" t="s">
        <v>2237</v>
      </c>
    </row>
    <row r="420" spans="1:7">
      <c r="A420" s="56" t="s">
        <v>2289</v>
      </c>
      <c r="B420" s="56" t="s">
        <v>2248</v>
      </c>
      <c r="C420" s="56" t="s">
        <v>2254</v>
      </c>
      <c r="D420" s="56" t="s">
        <v>2485</v>
      </c>
      <c r="E420" s="74" t="s">
        <v>2488</v>
      </c>
      <c r="F420" s="56" t="s">
        <v>2076</v>
      </c>
      <c r="G420" s="56" t="s">
        <v>2237</v>
      </c>
    </row>
    <row r="421" spans="1:7">
      <c r="A421" s="56" t="s">
        <v>2290</v>
      </c>
      <c r="B421" s="56" t="s">
        <v>2248</v>
      </c>
      <c r="C421" s="56" t="s">
        <v>2254</v>
      </c>
      <c r="D421" s="56" t="s">
        <v>2485</v>
      </c>
      <c r="E421" s="74" t="s">
        <v>2488</v>
      </c>
      <c r="F421" s="56" t="s">
        <v>2076</v>
      </c>
      <c r="G421" s="56" t="s">
        <v>2237</v>
      </c>
    </row>
    <row r="422" spans="1:7">
      <c r="A422" s="56" t="s">
        <v>2291</v>
      </c>
      <c r="B422" s="56" t="s">
        <v>2292</v>
      </c>
      <c r="C422" s="56" t="s">
        <v>2254</v>
      </c>
      <c r="D422" s="56" t="s">
        <v>2485</v>
      </c>
      <c r="E422" s="74" t="s">
        <v>2488</v>
      </c>
      <c r="F422" s="56" t="s">
        <v>2076</v>
      </c>
      <c r="G422" s="56" t="s">
        <v>2237</v>
      </c>
    </row>
    <row r="423" spans="1:7">
      <c r="A423" s="56" t="s">
        <v>2293</v>
      </c>
      <c r="B423" s="56"/>
      <c r="C423" s="56" t="s">
        <v>2254</v>
      </c>
      <c r="D423" s="56" t="s">
        <v>2485</v>
      </c>
      <c r="E423" s="74" t="s">
        <v>2488</v>
      </c>
      <c r="F423" s="56" t="s">
        <v>2076</v>
      </c>
      <c r="G423" s="56" t="s">
        <v>2237</v>
      </c>
    </row>
    <row r="424" spans="1:7">
      <c r="A424" s="56" t="s">
        <v>2294</v>
      </c>
      <c r="B424" s="56"/>
      <c r="C424" s="56" t="s">
        <v>2254</v>
      </c>
      <c r="D424" s="56" t="s">
        <v>2485</v>
      </c>
      <c r="E424" s="74" t="s">
        <v>2488</v>
      </c>
      <c r="F424" s="56" t="s">
        <v>2076</v>
      </c>
      <c r="G424" s="56" t="s">
        <v>2237</v>
      </c>
    </row>
    <row r="425" spans="1:7">
      <c r="A425" s="56" t="s">
        <v>2295</v>
      </c>
      <c r="B425" s="56"/>
      <c r="C425" s="56" t="s">
        <v>2254</v>
      </c>
      <c r="D425" s="56" t="s">
        <v>2485</v>
      </c>
      <c r="E425" s="74" t="s">
        <v>2488</v>
      </c>
      <c r="F425" s="56" t="s">
        <v>2076</v>
      </c>
      <c r="G425" s="56" t="s">
        <v>2237</v>
      </c>
    </row>
    <row r="426" spans="1:7" ht="17.100000000000001">
      <c r="A426" s="75" t="s">
        <v>2493</v>
      </c>
      <c r="B426" s="75"/>
      <c r="C426" s="75"/>
      <c r="D426" s="75"/>
      <c r="E426" s="76"/>
      <c r="F426" s="75"/>
      <c r="G426" s="75"/>
    </row>
    <row r="427" spans="1:7">
      <c r="A427" s="56" t="s">
        <v>2297</v>
      </c>
      <c r="B427" s="56" t="s">
        <v>2298</v>
      </c>
      <c r="C427" s="56" t="s">
        <v>108</v>
      </c>
      <c r="D427" s="56" t="s">
        <v>2485</v>
      </c>
      <c r="E427" s="74" t="s">
        <v>108</v>
      </c>
      <c r="F427" s="56" t="s">
        <v>2074</v>
      </c>
      <c r="G427" s="56" t="s">
        <v>2237</v>
      </c>
    </row>
    <row r="428" spans="1:7">
      <c r="A428" s="56" t="s">
        <v>2299</v>
      </c>
      <c r="B428" s="56" t="s">
        <v>2298</v>
      </c>
      <c r="C428" s="56" t="s">
        <v>2300</v>
      </c>
      <c r="D428" s="56" t="s">
        <v>2485</v>
      </c>
      <c r="E428" s="74" t="s">
        <v>108</v>
      </c>
      <c r="F428" s="56" t="s">
        <v>2074</v>
      </c>
      <c r="G428" s="56" t="s">
        <v>2301</v>
      </c>
    </row>
    <row r="429" spans="1:7">
      <c r="A429" s="56" t="s">
        <v>2302</v>
      </c>
      <c r="B429" s="56"/>
      <c r="C429" s="56" t="s">
        <v>2303</v>
      </c>
      <c r="D429" s="56" t="s">
        <v>2485</v>
      </c>
      <c r="E429" s="74" t="s">
        <v>108</v>
      </c>
      <c r="F429" s="56" t="s">
        <v>2074</v>
      </c>
      <c r="G429" s="56" t="s">
        <v>2237</v>
      </c>
    </row>
    <row r="430" spans="1:7">
      <c r="A430" s="56" t="s">
        <v>2304</v>
      </c>
      <c r="B430" s="56"/>
      <c r="C430" s="56" t="s">
        <v>2254</v>
      </c>
      <c r="D430" s="56" t="s">
        <v>2485</v>
      </c>
      <c r="E430" s="74" t="s">
        <v>2488</v>
      </c>
      <c r="F430" s="56" t="s">
        <v>2076</v>
      </c>
      <c r="G430" s="56" t="s">
        <v>2237</v>
      </c>
    </row>
    <row r="431" spans="1:7">
      <c r="A431" s="56" t="s">
        <v>2305</v>
      </c>
      <c r="B431" s="56"/>
      <c r="C431" s="56" t="s">
        <v>2254</v>
      </c>
      <c r="D431" s="56" t="s">
        <v>2485</v>
      </c>
      <c r="E431" s="74" t="s">
        <v>2488</v>
      </c>
      <c r="F431" s="56" t="s">
        <v>2076</v>
      </c>
      <c r="G431" s="56" t="s">
        <v>2237</v>
      </c>
    </row>
    <row r="432" spans="1:7">
      <c r="A432" s="56" t="s">
        <v>2306</v>
      </c>
      <c r="B432" s="56" t="s">
        <v>2298</v>
      </c>
      <c r="C432" s="56" t="s">
        <v>2307</v>
      </c>
      <c r="D432" s="56" t="s">
        <v>2485</v>
      </c>
      <c r="E432" s="74" t="s">
        <v>2307</v>
      </c>
      <c r="F432" s="56" t="s">
        <v>2074</v>
      </c>
      <c r="G432" s="56" t="s">
        <v>2237</v>
      </c>
    </row>
    <row r="433" spans="1:7">
      <c r="A433" s="56" t="s">
        <v>2308</v>
      </c>
      <c r="B433" s="56" t="s">
        <v>2309</v>
      </c>
      <c r="C433" s="56" t="s">
        <v>108</v>
      </c>
      <c r="D433" s="56" t="s">
        <v>2485</v>
      </c>
      <c r="E433" s="74" t="s">
        <v>108</v>
      </c>
      <c r="F433" s="56" t="s">
        <v>2074</v>
      </c>
      <c r="G433" s="56" t="s">
        <v>2237</v>
      </c>
    </row>
    <row r="434" spans="1:7" ht="17.100000000000001">
      <c r="A434" s="75" t="s">
        <v>2494</v>
      </c>
      <c r="B434" s="75"/>
      <c r="C434" s="75"/>
      <c r="D434" s="75"/>
      <c r="E434" s="76"/>
      <c r="F434" s="75"/>
      <c r="G434" s="75"/>
    </row>
    <row r="435" spans="1:7">
      <c r="A435" s="56" t="s">
        <v>2495</v>
      </c>
      <c r="B435" s="56" t="s">
        <v>2298</v>
      </c>
      <c r="C435" s="56" t="s">
        <v>2496</v>
      </c>
      <c r="D435" s="56" t="s">
        <v>2485</v>
      </c>
      <c r="E435" s="74" t="s">
        <v>2069</v>
      </c>
      <c r="F435" s="56" t="s">
        <v>2072</v>
      </c>
      <c r="G435" s="56" t="s">
        <v>2237</v>
      </c>
    </row>
    <row r="436" spans="1:7">
      <c r="A436" s="56" t="s">
        <v>2497</v>
      </c>
      <c r="B436" s="56" t="s">
        <v>2292</v>
      </c>
      <c r="C436" s="56" t="s">
        <v>2496</v>
      </c>
      <c r="D436" s="56" t="s">
        <v>2485</v>
      </c>
      <c r="E436" s="74" t="s">
        <v>2069</v>
      </c>
      <c r="F436" s="56" t="s">
        <v>2072</v>
      </c>
      <c r="G436" s="56" t="s">
        <v>2237</v>
      </c>
    </row>
    <row r="437" spans="1:7">
      <c r="A437" s="56" t="s">
        <v>2311</v>
      </c>
      <c r="B437" s="56"/>
      <c r="C437" s="56" t="s">
        <v>2307</v>
      </c>
      <c r="D437" s="56" t="s">
        <v>2485</v>
      </c>
      <c r="E437" s="74" t="s">
        <v>2307</v>
      </c>
      <c r="F437" s="56" t="s">
        <v>2074</v>
      </c>
      <c r="G437" s="56" t="s">
        <v>2237</v>
      </c>
    </row>
    <row r="438" spans="1:7">
      <c r="A438" s="56" t="s">
        <v>2312</v>
      </c>
      <c r="B438" s="56"/>
      <c r="C438" s="56" t="s">
        <v>2313</v>
      </c>
      <c r="D438" s="56" t="s">
        <v>2485</v>
      </c>
      <c r="E438" s="74" t="s">
        <v>2307</v>
      </c>
      <c r="F438" s="56" t="s">
        <v>2074</v>
      </c>
      <c r="G438" s="56" t="s">
        <v>2237</v>
      </c>
    </row>
    <row r="439" spans="1:7">
      <c r="A439" s="56" t="s">
        <v>2314</v>
      </c>
      <c r="B439" s="56" t="s">
        <v>2298</v>
      </c>
      <c r="C439" s="56" t="s">
        <v>108</v>
      </c>
      <c r="D439" s="56" t="s">
        <v>2485</v>
      </c>
      <c r="E439" s="74" t="s">
        <v>108</v>
      </c>
      <c r="F439" s="56" t="s">
        <v>2074</v>
      </c>
      <c r="G439" s="56" t="s">
        <v>2237</v>
      </c>
    </row>
    <row r="440" spans="1:7">
      <c r="A440" s="56" t="s">
        <v>2315</v>
      </c>
      <c r="B440" s="56" t="s">
        <v>2298</v>
      </c>
      <c r="C440" s="56" t="s">
        <v>108</v>
      </c>
      <c r="D440" s="56" t="s">
        <v>2485</v>
      </c>
      <c r="E440" s="74" t="s">
        <v>108</v>
      </c>
      <c r="F440" s="56" t="s">
        <v>2074</v>
      </c>
      <c r="G440" s="56" t="s">
        <v>2237</v>
      </c>
    </row>
    <row r="441" spans="1:7">
      <c r="A441" s="56" t="s">
        <v>2316</v>
      </c>
      <c r="B441" s="56" t="s">
        <v>2292</v>
      </c>
      <c r="C441" s="56" t="s">
        <v>108</v>
      </c>
      <c r="D441" s="56" t="s">
        <v>2485</v>
      </c>
      <c r="E441" s="74" t="s">
        <v>108</v>
      </c>
      <c r="F441" s="56" t="s">
        <v>2074</v>
      </c>
      <c r="G441" s="56" t="s">
        <v>2237</v>
      </c>
    </row>
    <row r="442" spans="1:7">
      <c r="A442" s="56" t="s">
        <v>2317</v>
      </c>
      <c r="B442" s="56" t="s">
        <v>2318</v>
      </c>
      <c r="C442" s="56" t="s">
        <v>2307</v>
      </c>
      <c r="D442" s="56" t="s">
        <v>2485</v>
      </c>
      <c r="E442" s="74" t="s">
        <v>2307</v>
      </c>
      <c r="F442" s="56" t="s">
        <v>2074</v>
      </c>
      <c r="G442" s="56" t="s">
        <v>2237</v>
      </c>
    </row>
    <row r="443" spans="1:7">
      <c r="A443" s="56" t="s">
        <v>2319</v>
      </c>
      <c r="B443" s="56" t="s">
        <v>2318</v>
      </c>
      <c r="C443" s="56" t="s">
        <v>2307</v>
      </c>
      <c r="D443" s="56" t="s">
        <v>2485</v>
      </c>
      <c r="E443" s="74" t="s">
        <v>2307</v>
      </c>
      <c r="F443" s="56" t="s">
        <v>2074</v>
      </c>
      <c r="G443" s="56" t="s">
        <v>2237</v>
      </c>
    </row>
    <row r="444" spans="1:7">
      <c r="A444" s="56" t="s">
        <v>2320</v>
      </c>
      <c r="B444" s="56"/>
      <c r="C444" s="56" t="s">
        <v>2254</v>
      </c>
      <c r="D444" s="56" t="s">
        <v>2485</v>
      </c>
      <c r="E444" s="74" t="s">
        <v>2488</v>
      </c>
      <c r="F444" s="56" t="s">
        <v>2076</v>
      </c>
      <c r="G444" s="56" t="s">
        <v>2237</v>
      </c>
    </row>
    <row r="445" spans="1:7">
      <c r="A445" s="56" t="s">
        <v>2321</v>
      </c>
      <c r="B445" s="56" t="s">
        <v>2318</v>
      </c>
      <c r="C445" s="56" t="s">
        <v>108</v>
      </c>
      <c r="D445" s="56" t="s">
        <v>2485</v>
      </c>
      <c r="E445" s="74" t="s">
        <v>108</v>
      </c>
      <c r="F445" s="56" t="s">
        <v>2074</v>
      </c>
      <c r="G445" s="56" t="s">
        <v>2322</v>
      </c>
    </row>
    <row r="446" spans="1:7" ht="17.100000000000001">
      <c r="A446" s="75" t="s">
        <v>2498</v>
      </c>
      <c r="B446" s="75"/>
      <c r="C446" s="75"/>
      <c r="D446" s="75"/>
      <c r="E446" s="76"/>
      <c r="F446" s="75"/>
      <c r="G446" s="75"/>
    </row>
    <row r="447" spans="1:7">
      <c r="A447" s="56" t="s">
        <v>2324</v>
      </c>
      <c r="B447" s="56" t="s">
        <v>2325</v>
      </c>
      <c r="C447" s="56" t="s">
        <v>108</v>
      </c>
      <c r="D447" s="56" t="s">
        <v>2485</v>
      </c>
      <c r="E447" s="74" t="s">
        <v>108</v>
      </c>
      <c r="F447" s="56" t="s">
        <v>2074</v>
      </c>
      <c r="G447" s="56" t="s">
        <v>2237</v>
      </c>
    </row>
    <row r="448" spans="1:7">
      <c r="A448" s="56" t="s">
        <v>2326</v>
      </c>
      <c r="B448" s="56" t="s">
        <v>2327</v>
      </c>
      <c r="C448" s="56" t="s">
        <v>108</v>
      </c>
      <c r="D448" s="56" t="s">
        <v>2485</v>
      </c>
      <c r="E448" s="74" t="s">
        <v>108</v>
      </c>
      <c r="F448" s="56" t="s">
        <v>2074</v>
      </c>
      <c r="G448" s="56" t="s">
        <v>2237</v>
      </c>
    </row>
    <row r="449" spans="1:7">
      <c r="A449" s="56" t="s">
        <v>2328</v>
      </c>
      <c r="B449" s="56" t="s">
        <v>2327</v>
      </c>
      <c r="C449" s="56" t="s">
        <v>108</v>
      </c>
      <c r="D449" s="56" t="s">
        <v>2485</v>
      </c>
      <c r="E449" s="74" t="s">
        <v>108</v>
      </c>
      <c r="F449" s="56" t="s">
        <v>2074</v>
      </c>
      <c r="G449" s="56" t="s">
        <v>2237</v>
      </c>
    </row>
    <row r="450" spans="1:7" ht="17.100000000000001">
      <c r="A450" s="75" t="s">
        <v>2499</v>
      </c>
      <c r="B450" s="75"/>
      <c r="C450" s="75"/>
      <c r="D450" s="75"/>
      <c r="E450" s="76"/>
      <c r="F450" s="75"/>
      <c r="G450" s="75"/>
    </row>
    <row r="451" spans="1:7">
      <c r="A451" s="56" t="s">
        <v>2403</v>
      </c>
      <c r="B451" s="56" t="s">
        <v>2331</v>
      </c>
      <c r="C451" s="56" t="s">
        <v>2390</v>
      </c>
      <c r="D451" s="56" t="s">
        <v>2485</v>
      </c>
      <c r="E451" s="74" t="s">
        <v>2392</v>
      </c>
      <c r="F451" s="56" t="s">
        <v>2076</v>
      </c>
      <c r="G451" s="56" t="s">
        <v>2404</v>
      </c>
    </row>
    <row r="452" spans="1:7">
      <c r="A452" s="56" t="s">
        <v>2405</v>
      </c>
      <c r="B452" s="56" t="s">
        <v>2406</v>
      </c>
      <c r="C452" s="56" t="s">
        <v>2390</v>
      </c>
      <c r="D452" s="56" t="s">
        <v>2485</v>
      </c>
      <c r="E452" s="74" t="s">
        <v>2392</v>
      </c>
      <c r="F452" s="56" t="s">
        <v>2076</v>
      </c>
      <c r="G452" s="56" t="s">
        <v>2407</v>
      </c>
    </row>
    <row r="453" spans="1:7">
      <c r="A453" s="56" t="s">
        <v>2330</v>
      </c>
      <c r="B453" s="56" t="s">
        <v>2331</v>
      </c>
      <c r="C453" s="56" t="s">
        <v>2307</v>
      </c>
      <c r="D453" s="56" t="s">
        <v>2485</v>
      </c>
      <c r="E453" s="74" t="s">
        <v>2307</v>
      </c>
      <c r="F453" s="56" t="s">
        <v>2074</v>
      </c>
      <c r="G453" s="56" t="s">
        <v>2332</v>
      </c>
    </row>
    <row r="454" spans="1:7">
      <c r="A454" s="56" t="s">
        <v>2333</v>
      </c>
      <c r="B454" s="56" t="s">
        <v>2334</v>
      </c>
      <c r="C454" s="56" t="s">
        <v>108</v>
      </c>
      <c r="D454" s="56" t="s">
        <v>2485</v>
      </c>
      <c r="E454" s="74" t="s">
        <v>108</v>
      </c>
      <c r="F454" s="56" t="s">
        <v>2074</v>
      </c>
      <c r="G454" s="56" t="s">
        <v>2335</v>
      </c>
    </row>
    <row r="455" spans="1:7">
      <c r="A455" s="56" t="s">
        <v>2336</v>
      </c>
      <c r="B455" s="56" t="s">
        <v>2337</v>
      </c>
      <c r="C455" s="56" t="s">
        <v>108</v>
      </c>
      <c r="D455" s="56" t="s">
        <v>2485</v>
      </c>
      <c r="E455" s="74" t="s">
        <v>108</v>
      </c>
      <c r="F455" s="56" t="s">
        <v>2074</v>
      </c>
      <c r="G455" s="56" t="s">
        <v>2338</v>
      </c>
    </row>
    <row r="456" spans="1:7">
      <c r="A456" s="56" t="s">
        <v>2339</v>
      </c>
      <c r="B456" s="56" t="s">
        <v>2340</v>
      </c>
      <c r="C456" s="56" t="s">
        <v>108</v>
      </c>
      <c r="D456" s="56" t="s">
        <v>2485</v>
      </c>
      <c r="E456" s="74" t="s">
        <v>108</v>
      </c>
      <c r="F456" s="56" t="s">
        <v>2074</v>
      </c>
      <c r="G456" s="56" t="s">
        <v>2341</v>
      </c>
    </row>
    <row r="457" spans="1:7">
      <c r="A457" s="56" t="s">
        <v>2342</v>
      </c>
      <c r="B457" s="56"/>
      <c r="C457" s="56" t="s">
        <v>2254</v>
      </c>
      <c r="D457" s="56" t="s">
        <v>2485</v>
      </c>
      <c r="E457" s="74" t="s">
        <v>2488</v>
      </c>
      <c r="F457" s="56" t="s">
        <v>2076</v>
      </c>
      <c r="G457" s="56" t="s">
        <v>2237</v>
      </c>
    </row>
    <row r="458" spans="1:7" ht="17.100000000000001">
      <c r="A458" s="75" t="s">
        <v>2500</v>
      </c>
      <c r="B458" s="75"/>
      <c r="C458" s="75"/>
      <c r="D458" s="75"/>
      <c r="E458" s="76"/>
      <c r="F458" s="75"/>
      <c r="G458" s="75"/>
    </row>
    <row r="459" spans="1:7">
      <c r="A459" s="56" t="s">
        <v>2344</v>
      </c>
      <c r="B459" s="56" t="s">
        <v>2334</v>
      </c>
      <c r="C459" s="56" t="s">
        <v>108</v>
      </c>
      <c r="D459" s="56" t="s">
        <v>2485</v>
      </c>
      <c r="E459" s="74" t="s">
        <v>108</v>
      </c>
      <c r="F459" s="56" t="s">
        <v>2074</v>
      </c>
      <c r="G459" s="56" t="s">
        <v>2345</v>
      </c>
    </row>
    <row r="460" spans="1:7">
      <c r="A460" s="56" t="s">
        <v>2409</v>
      </c>
      <c r="B460" s="56" t="s">
        <v>2236</v>
      </c>
      <c r="C460" s="56" t="s">
        <v>2390</v>
      </c>
      <c r="D460" s="56" t="s">
        <v>2485</v>
      </c>
      <c r="E460" s="74" t="s">
        <v>2392</v>
      </c>
      <c r="F460" s="56" t="s">
        <v>2076</v>
      </c>
      <c r="G460" s="56" t="s">
        <v>2237</v>
      </c>
    </row>
    <row r="461" spans="1:7">
      <c r="A461" s="56" t="s">
        <v>2410</v>
      </c>
      <c r="B461" s="56" t="s">
        <v>2236</v>
      </c>
      <c r="C461" s="56" t="s">
        <v>2411</v>
      </c>
      <c r="D461" s="56" t="s">
        <v>2485</v>
      </c>
      <c r="E461" s="74" t="s">
        <v>2412</v>
      </c>
      <c r="F461" s="56" t="s">
        <v>2076</v>
      </c>
      <c r="G461" s="56" t="s">
        <v>2413</v>
      </c>
    </row>
    <row r="462" spans="1:7">
      <c r="A462" s="56" t="s">
        <v>2346</v>
      </c>
      <c r="B462" s="56" t="s">
        <v>2347</v>
      </c>
      <c r="C462" s="56" t="s">
        <v>108</v>
      </c>
      <c r="D462" s="56" t="s">
        <v>2485</v>
      </c>
      <c r="E462" s="74" t="s">
        <v>108</v>
      </c>
      <c r="F462" s="56" t="s">
        <v>2074</v>
      </c>
      <c r="G462" s="56" t="s">
        <v>2348</v>
      </c>
    </row>
    <row r="463" spans="1:7">
      <c r="A463" s="56" t="s">
        <v>2349</v>
      </c>
      <c r="B463" s="56" t="s">
        <v>2350</v>
      </c>
      <c r="C463" s="56" t="s">
        <v>108</v>
      </c>
      <c r="D463" s="56" t="s">
        <v>2485</v>
      </c>
      <c r="E463" s="74" t="s">
        <v>108</v>
      </c>
      <c r="F463" s="56" t="s">
        <v>2074</v>
      </c>
      <c r="G463" s="56" t="s">
        <v>2351</v>
      </c>
    </row>
    <row r="464" spans="1:7">
      <c r="A464" s="56" t="s">
        <v>2352</v>
      </c>
      <c r="B464" s="56" t="s">
        <v>2353</v>
      </c>
      <c r="C464" s="56" t="s">
        <v>2307</v>
      </c>
      <c r="D464" s="56" t="s">
        <v>2485</v>
      </c>
      <c r="E464" s="74" t="s">
        <v>2307</v>
      </c>
      <c r="F464" s="56" t="s">
        <v>2074</v>
      </c>
      <c r="G464" s="56" t="s">
        <v>2237</v>
      </c>
    </row>
    <row r="465" spans="1:7">
      <c r="A465" s="56" t="s">
        <v>2354</v>
      </c>
      <c r="B465" s="56" t="s">
        <v>2353</v>
      </c>
      <c r="C465" s="56" t="s">
        <v>2355</v>
      </c>
      <c r="D465" s="56" t="s">
        <v>2485</v>
      </c>
      <c r="E465" s="74" t="s">
        <v>108</v>
      </c>
      <c r="F465" s="56" t="s">
        <v>2074</v>
      </c>
      <c r="G465" s="56" t="s">
        <v>2237</v>
      </c>
    </row>
    <row r="466" spans="1:7" ht="17.100000000000001">
      <c r="A466" s="75" t="s">
        <v>2501</v>
      </c>
      <c r="B466" s="75"/>
      <c r="C466" s="75"/>
      <c r="D466" s="75"/>
      <c r="E466" s="76"/>
      <c r="F466" s="75"/>
      <c r="G466" s="75"/>
    </row>
    <row r="467" spans="1:7">
      <c r="A467" s="56" t="s">
        <v>2357</v>
      </c>
      <c r="B467" s="56" t="s">
        <v>2358</v>
      </c>
      <c r="C467" s="56" t="s">
        <v>108</v>
      </c>
      <c r="D467" s="56" t="s">
        <v>2485</v>
      </c>
      <c r="E467" s="74" t="s">
        <v>108</v>
      </c>
      <c r="F467" s="56" t="s">
        <v>2074</v>
      </c>
      <c r="G467" s="56" t="s">
        <v>2237</v>
      </c>
    </row>
    <row r="468" spans="1:7">
      <c r="A468" s="56" t="s">
        <v>2359</v>
      </c>
      <c r="B468" s="56" t="s">
        <v>2358</v>
      </c>
      <c r="C468" s="56" t="s">
        <v>2307</v>
      </c>
      <c r="D468" s="56" t="s">
        <v>2485</v>
      </c>
      <c r="E468" s="74" t="s">
        <v>2307</v>
      </c>
      <c r="F468" s="56" t="s">
        <v>2074</v>
      </c>
      <c r="G468" s="56" t="s">
        <v>2360</v>
      </c>
    </row>
    <row r="469" spans="1:7">
      <c r="A469" s="56" t="s">
        <v>2361</v>
      </c>
      <c r="B469" s="56" t="s">
        <v>2362</v>
      </c>
      <c r="C469" s="56" t="s">
        <v>2363</v>
      </c>
      <c r="D469" s="56" t="s">
        <v>2485</v>
      </c>
      <c r="E469" s="74" t="s">
        <v>2502</v>
      </c>
      <c r="F469" s="56" t="s">
        <v>2070</v>
      </c>
      <c r="G469" s="56" t="s">
        <v>2365</v>
      </c>
    </row>
    <row r="470" spans="1:7">
      <c r="A470" s="56" t="s">
        <v>2361</v>
      </c>
      <c r="B470" s="56" t="s">
        <v>2362</v>
      </c>
      <c r="C470" s="56" t="s">
        <v>2363</v>
      </c>
      <c r="D470" s="56" t="s">
        <v>2486</v>
      </c>
      <c r="E470" s="74" t="s">
        <v>2451</v>
      </c>
      <c r="F470" s="56" t="s">
        <v>2082</v>
      </c>
      <c r="G470" s="56" t="s">
        <v>2365</v>
      </c>
    </row>
    <row r="471" spans="1:7">
      <c r="A471" s="56" t="s">
        <v>2366</v>
      </c>
      <c r="B471" s="56" t="s">
        <v>2362</v>
      </c>
      <c r="C471" s="56" t="s">
        <v>2265</v>
      </c>
      <c r="D471" s="56" t="s">
        <v>2485</v>
      </c>
      <c r="E471" s="74" t="s">
        <v>108</v>
      </c>
      <c r="F471" s="56" t="s">
        <v>2074</v>
      </c>
      <c r="G471" s="56" t="s">
        <v>2367</v>
      </c>
    </row>
    <row r="472" spans="1:7">
      <c r="A472" s="56" t="s">
        <v>2368</v>
      </c>
      <c r="B472" s="56" t="s">
        <v>2358</v>
      </c>
      <c r="C472" s="56" t="s">
        <v>2369</v>
      </c>
      <c r="D472" s="56" t="s">
        <v>2485</v>
      </c>
      <c r="E472" s="74" t="s">
        <v>108</v>
      </c>
      <c r="F472" s="56" t="s">
        <v>2074</v>
      </c>
      <c r="G472" s="56" t="s">
        <v>2237</v>
      </c>
    </row>
    <row r="473" spans="1:7">
      <c r="A473" s="56" t="s">
        <v>2370</v>
      </c>
      <c r="B473" s="56" t="s">
        <v>2358</v>
      </c>
      <c r="C473" s="56" t="s">
        <v>2371</v>
      </c>
      <c r="D473" s="56" t="s">
        <v>2485</v>
      </c>
      <c r="E473" s="74" t="s">
        <v>108</v>
      </c>
      <c r="F473" s="56" t="s">
        <v>2074</v>
      </c>
      <c r="G473" s="56" t="s">
        <v>2372</v>
      </c>
    </row>
    <row r="474" spans="1:7" ht="17.100000000000001">
      <c r="A474" s="75" t="s">
        <v>2503</v>
      </c>
      <c r="B474" s="75"/>
      <c r="C474" s="75"/>
      <c r="D474" s="75"/>
      <c r="E474" s="76"/>
      <c r="F474" s="75"/>
      <c r="G474" s="75"/>
    </row>
    <row r="475" spans="1:7">
      <c r="A475" s="56" t="s">
        <v>2416</v>
      </c>
      <c r="B475" s="56"/>
      <c r="C475" s="56" t="s">
        <v>2390</v>
      </c>
      <c r="D475" s="56" t="s">
        <v>2485</v>
      </c>
      <c r="E475" s="74" t="s">
        <v>2392</v>
      </c>
      <c r="F475" s="56" t="s">
        <v>2076</v>
      </c>
      <c r="G475" s="56" t="s">
        <v>2417</v>
      </c>
    </row>
    <row r="476" spans="1:7">
      <c r="A476" s="56" t="s">
        <v>2374</v>
      </c>
      <c r="B476" s="56" t="s">
        <v>2375</v>
      </c>
      <c r="C476" s="56" t="s">
        <v>2376</v>
      </c>
      <c r="D476" s="56" t="s">
        <v>2485</v>
      </c>
      <c r="E476" s="74" t="s">
        <v>108</v>
      </c>
      <c r="F476" s="56" t="s">
        <v>2074</v>
      </c>
      <c r="G476" s="56" t="s">
        <v>2377</v>
      </c>
    </row>
    <row r="477" spans="1:7">
      <c r="A477" s="56" t="s">
        <v>2378</v>
      </c>
      <c r="B477" s="56" t="s">
        <v>2379</v>
      </c>
      <c r="C477" s="56" t="s">
        <v>2380</v>
      </c>
      <c r="D477" s="56" t="s">
        <v>2485</v>
      </c>
      <c r="E477" s="74" t="s">
        <v>108</v>
      </c>
      <c r="F477" s="56" t="s">
        <v>2074</v>
      </c>
      <c r="G477" s="56" t="s">
        <v>2381</v>
      </c>
    </row>
    <row r="478" spans="1:7">
      <c r="A478" s="56" t="s">
        <v>2418</v>
      </c>
      <c r="B478" s="56" t="s">
        <v>2385</v>
      </c>
      <c r="C478" s="56" t="s">
        <v>2390</v>
      </c>
      <c r="D478" s="56" t="s">
        <v>2485</v>
      </c>
      <c r="E478" s="74" t="s">
        <v>2392</v>
      </c>
      <c r="F478" s="56" t="s">
        <v>2076</v>
      </c>
      <c r="G478" s="56" t="s">
        <v>2419</v>
      </c>
    </row>
    <row r="479" spans="1:7">
      <c r="A479" s="56" t="s">
        <v>2382</v>
      </c>
      <c r="B479" s="56"/>
      <c r="C479" s="56" t="s">
        <v>2254</v>
      </c>
      <c r="D479" s="56" t="s">
        <v>2485</v>
      </c>
      <c r="E479" s="74" t="s">
        <v>2488</v>
      </c>
      <c r="F479" s="56" t="s">
        <v>2076</v>
      </c>
      <c r="G479" s="56" t="s">
        <v>2237</v>
      </c>
    </row>
    <row r="480" spans="1:7">
      <c r="A480" s="56" t="s">
        <v>2383</v>
      </c>
      <c r="B480" s="56"/>
      <c r="C480" s="56" t="s">
        <v>108</v>
      </c>
      <c r="D480" s="56" t="s">
        <v>2485</v>
      </c>
      <c r="E480" s="74" t="s">
        <v>108</v>
      </c>
      <c r="F480" s="56" t="s">
        <v>2074</v>
      </c>
      <c r="G480" s="56" t="s">
        <v>2237</v>
      </c>
    </row>
    <row r="481" spans="1:7">
      <c r="A481" s="56" t="s">
        <v>2384</v>
      </c>
      <c r="B481" s="56" t="s">
        <v>2385</v>
      </c>
      <c r="C481" s="56" t="s">
        <v>2386</v>
      </c>
      <c r="D481" s="56" t="s">
        <v>2485</v>
      </c>
      <c r="E481" s="74" t="s">
        <v>2386</v>
      </c>
      <c r="F481" s="56" t="s">
        <v>2074</v>
      </c>
      <c r="G481" s="56" t="s">
        <v>2387</v>
      </c>
    </row>
    <row r="482" spans="1:7" ht="17.100000000000001">
      <c r="A482" s="75" t="s">
        <v>2504</v>
      </c>
      <c r="B482" s="75"/>
      <c r="C482" s="75"/>
      <c r="D482" s="75"/>
      <c r="E482" s="76"/>
      <c r="F482" s="75"/>
      <c r="G482" s="75"/>
    </row>
    <row r="483" spans="1:7">
      <c r="A483" s="56" t="s">
        <v>2230</v>
      </c>
      <c r="B483" s="56" t="s">
        <v>2231</v>
      </c>
      <c r="C483" s="56" t="s">
        <v>1562</v>
      </c>
      <c r="D483" s="56" t="s">
        <v>2505</v>
      </c>
      <c r="E483" s="74" t="s">
        <v>1562</v>
      </c>
      <c r="F483" s="56" t="s">
        <v>2099</v>
      </c>
      <c r="G483" s="56" t="s">
        <v>2233</v>
      </c>
    </row>
    <row r="484" spans="1:7">
      <c r="A484" s="56" t="s">
        <v>2235</v>
      </c>
      <c r="B484" s="56" t="s">
        <v>2236</v>
      </c>
      <c r="C484" s="56" t="s">
        <v>1212</v>
      </c>
      <c r="D484" s="56" t="s">
        <v>2505</v>
      </c>
      <c r="E484" s="74" t="s">
        <v>1212</v>
      </c>
      <c r="F484" s="56" t="s">
        <v>2092</v>
      </c>
      <c r="G484" s="56" t="s">
        <v>2237</v>
      </c>
    </row>
    <row r="485" spans="1:7">
      <c r="A485" s="56" t="s">
        <v>2238</v>
      </c>
      <c r="B485" s="56"/>
      <c r="C485" s="56" t="s">
        <v>2239</v>
      </c>
      <c r="D485" s="56" t="s">
        <v>2505</v>
      </c>
      <c r="E485" s="74" t="s">
        <v>2422</v>
      </c>
      <c r="F485" s="56" t="s">
        <v>2099</v>
      </c>
      <c r="G485" s="56" t="s">
        <v>2237</v>
      </c>
    </row>
    <row r="486" spans="1:7">
      <c r="A486" s="56" t="s">
        <v>2240</v>
      </c>
      <c r="B486" s="56" t="s">
        <v>2241</v>
      </c>
      <c r="C486" s="56" t="s">
        <v>108</v>
      </c>
      <c r="D486" s="56" t="s">
        <v>2505</v>
      </c>
      <c r="E486" s="74" t="s">
        <v>108</v>
      </c>
      <c r="F486" s="56" t="s">
        <v>2095</v>
      </c>
      <c r="G486" s="56" t="s">
        <v>2237</v>
      </c>
    </row>
    <row r="487" spans="1:7">
      <c r="A487" s="56" t="s">
        <v>2242</v>
      </c>
      <c r="B487" s="56" t="s">
        <v>2243</v>
      </c>
      <c r="C487" s="56" t="s">
        <v>108</v>
      </c>
      <c r="D487" s="56" t="s">
        <v>2505</v>
      </c>
      <c r="E487" s="74" t="s">
        <v>108</v>
      </c>
      <c r="F487" s="56" t="s">
        <v>2095</v>
      </c>
      <c r="G487" s="56" t="s">
        <v>2244</v>
      </c>
    </row>
    <row r="488" spans="1:7">
      <c r="A488" s="56" t="s">
        <v>2245</v>
      </c>
      <c r="B488" s="56"/>
      <c r="C488" s="56" t="s">
        <v>108</v>
      </c>
      <c r="D488" s="56" t="s">
        <v>2505</v>
      </c>
      <c r="E488" s="74" t="s">
        <v>108</v>
      </c>
      <c r="F488" s="56" t="s">
        <v>2095</v>
      </c>
      <c r="G488" s="56" t="s">
        <v>2237</v>
      </c>
    </row>
    <row r="489" spans="1:7" ht="17.100000000000001">
      <c r="A489" s="75" t="s">
        <v>2506</v>
      </c>
      <c r="B489" s="75"/>
      <c r="C489" s="75"/>
      <c r="D489" s="75"/>
      <c r="E489" s="76"/>
      <c r="F489" s="75"/>
      <c r="G489" s="75"/>
    </row>
    <row r="490" spans="1:7">
      <c r="A490" s="56" t="s">
        <v>2247</v>
      </c>
      <c r="B490" s="56" t="s">
        <v>2248</v>
      </c>
      <c r="C490" s="56" t="s">
        <v>108</v>
      </c>
      <c r="D490" s="56" t="s">
        <v>2505</v>
      </c>
      <c r="E490" s="74" t="s">
        <v>108</v>
      </c>
      <c r="F490" s="56" t="s">
        <v>2095</v>
      </c>
      <c r="G490" s="56" t="s">
        <v>2237</v>
      </c>
    </row>
    <row r="491" spans="1:7">
      <c r="A491" s="56" t="s">
        <v>2249</v>
      </c>
      <c r="B491" s="56" t="s">
        <v>2250</v>
      </c>
      <c r="C491" s="56" t="s">
        <v>108</v>
      </c>
      <c r="D491" s="56" t="s">
        <v>2505</v>
      </c>
      <c r="E491" s="74" t="s">
        <v>108</v>
      </c>
      <c r="F491" s="56" t="s">
        <v>2095</v>
      </c>
      <c r="G491" s="56" t="s">
        <v>2251</v>
      </c>
    </row>
    <row r="492" spans="1:7">
      <c r="A492" s="56" t="s">
        <v>2252</v>
      </c>
      <c r="B492" s="56" t="s">
        <v>2250</v>
      </c>
      <c r="C492" s="56" t="s">
        <v>108</v>
      </c>
      <c r="D492" s="56" t="s">
        <v>2505</v>
      </c>
      <c r="E492" s="74" t="s">
        <v>108</v>
      </c>
      <c r="F492" s="56" t="s">
        <v>2095</v>
      </c>
      <c r="G492" s="56" t="s">
        <v>2237</v>
      </c>
    </row>
    <row r="493" spans="1:7">
      <c r="A493" s="56" t="s">
        <v>2253</v>
      </c>
      <c r="B493" s="56" t="s">
        <v>2236</v>
      </c>
      <c r="C493" s="56" t="s">
        <v>2254</v>
      </c>
      <c r="D493" s="56" t="s">
        <v>2505</v>
      </c>
      <c r="E493" s="74" t="s">
        <v>2425</v>
      </c>
      <c r="F493" s="56" t="s">
        <v>2101</v>
      </c>
      <c r="G493" s="56" t="s">
        <v>2237</v>
      </c>
    </row>
    <row r="494" spans="1:7">
      <c r="A494" s="56" t="s">
        <v>2256</v>
      </c>
      <c r="B494" s="56" t="s">
        <v>2257</v>
      </c>
      <c r="C494" s="56" t="s">
        <v>108</v>
      </c>
      <c r="D494" s="56" t="s">
        <v>2505</v>
      </c>
      <c r="E494" s="74" t="s">
        <v>108</v>
      </c>
      <c r="F494" s="56" t="s">
        <v>2095</v>
      </c>
      <c r="G494" s="56" t="s">
        <v>2258</v>
      </c>
    </row>
    <row r="495" spans="1:7" ht="17.100000000000001">
      <c r="A495" s="75" t="s">
        <v>2507</v>
      </c>
      <c r="B495" s="75"/>
      <c r="C495" s="75"/>
      <c r="D495" s="75"/>
      <c r="E495" s="76"/>
      <c r="F495" s="75"/>
      <c r="G495" s="75"/>
    </row>
    <row r="496" spans="1:7">
      <c r="A496" s="56" t="s">
        <v>2260</v>
      </c>
      <c r="B496" s="56" t="s">
        <v>2261</v>
      </c>
      <c r="C496" s="56" t="s">
        <v>108</v>
      </c>
      <c r="D496" s="56" t="s">
        <v>2505</v>
      </c>
      <c r="E496" s="74" t="s">
        <v>108</v>
      </c>
      <c r="F496" s="56" t="s">
        <v>2095</v>
      </c>
      <c r="G496" s="56" t="s">
        <v>2237</v>
      </c>
    </row>
    <row r="497" spans="1:7">
      <c r="A497" s="56" t="s">
        <v>2262</v>
      </c>
      <c r="B497" s="56" t="s">
        <v>2261</v>
      </c>
      <c r="C497" s="56" t="s">
        <v>2263</v>
      </c>
      <c r="D497" s="56" t="s">
        <v>2505</v>
      </c>
      <c r="E497" s="74" t="s">
        <v>108</v>
      </c>
      <c r="F497" s="56" t="s">
        <v>2095</v>
      </c>
      <c r="G497" s="56" t="s">
        <v>2237</v>
      </c>
    </row>
    <row r="498" spans="1:7">
      <c r="A498" s="56" t="s">
        <v>2264</v>
      </c>
      <c r="B498" s="56" t="s">
        <v>2261</v>
      </c>
      <c r="C498" s="56" t="s">
        <v>2265</v>
      </c>
      <c r="D498" s="56" t="s">
        <v>2505</v>
      </c>
      <c r="E498" s="74" t="s">
        <v>108</v>
      </c>
      <c r="F498" s="56" t="s">
        <v>2095</v>
      </c>
      <c r="G498" s="56" t="s">
        <v>2266</v>
      </c>
    </row>
    <row r="499" spans="1:7">
      <c r="A499" s="56" t="s">
        <v>2267</v>
      </c>
      <c r="B499" s="56" t="s">
        <v>2261</v>
      </c>
      <c r="C499" s="56" t="s">
        <v>108</v>
      </c>
      <c r="D499" s="56" t="s">
        <v>2505</v>
      </c>
      <c r="E499" s="74" t="s">
        <v>108</v>
      </c>
      <c r="F499" s="56" t="s">
        <v>2095</v>
      </c>
      <c r="G499" s="56" t="s">
        <v>2237</v>
      </c>
    </row>
    <row r="500" spans="1:7" ht="17.100000000000001">
      <c r="A500" s="75" t="s">
        <v>2508</v>
      </c>
      <c r="B500" s="75"/>
      <c r="C500" s="75"/>
      <c r="D500" s="75"/>
      <c r="E500" s="76"/>
      <c r="F500" s="75"/>
      <c r="G500" s="75"/>
    </row>
    <row r="501" spans="1:7">
      <c r="A501" s="56" t="s">
        <v>2269</v>
      </c>
      <c r="B501" s="56" t="s">
        <v>2270</v>
      </c>
      <c r="C501" s="56" t="s">
        <v>2271</v>
      </c>
      <c r="D501" s="56" t="s">
        <v>2505</v>
      </c>
      <c r="E501" s="74" t="s">
        <v>108</v>
      </c>
      <c r="F501" s="56" t="s">
        <v>2095</v>
      </c>
      <c r="G501" s="56" t="s">
        <v>2237</v>
      </c>
    </row>
    <row r="502" spans="1:7">
      <c r="A502" s="56" t="s">
        <v>2428</v>
      </c>
      <c r="B502" s="56"/>
      <c r="C502" s="56" t="s">
        <v>549</v>
      </c>
      <c r="D502" s="56" t="s">
        <v>2505</v>
      </c>
      <c r="E502" s="74" t="s">
        <v>549</v>
      </c>
      <c r="F502" s="56" t="s">
        <v>2099</v>
      </c>
      <c r="G502" s="56" t="s">
        <v>2429</v>
      </c>
    </row>
    <row r="503" spans="1:7">
      <c r="A503" s="56" t="s">
        <v>2430</v>
      </c>
      <c r="B503" s="56" t="s">
        <v>2273</v>
      </c>
      <c r="C503" s="56" t="s">
        <v>549</v>
      </c>
      <c r="D503" s="56" t="s">
        <v>2505</v>
      </c>
      <c r="E503" s="74" t="s">
        <v>549</v>
      </c>
      <c r="F503" s="56" t="s">
        <v>2099</v>
      </c>
      <c r="G503" s="56" t="s">
        <v>2431</v>
      </c>
    </row>
    <row r="504" spans="1:7">
      <c r="A504" s="56" t="s">
        <v>2272</v>
      </c>
      <c r="B504" s="56" t="s">
        <v>2273</v>
      </c>
      <c r="C504" s="56" t="s">
        <v>108</v>
      </c>
      <c r="D504" s="56" t="s">
        <v>2505</v>
      </c>
      <c r="E504" s="74" t="s">
        <v>108</v>
      </c>
      <c r="F504" s="56" t="s">
        <v>2095</v>
      </c>
      <c r="G504" s="56" t="s">
        <v>2237</v>
      </c>
    </row>
    <row r="505" spans="1:7">
      <c r="A505" s="56" t="s">
        <v>2274</v>
      </c>
      <c r="B505" s="56" t="s">
        <v>2270</v>
      </c>
      <c r="C505" s="56" t="s">
        <v>2275</v>
      </c>
      <c r="D505" s="56" t="s">
        <v>2505</v>
      </c>
      <c r="E505" s="74" t="s">
        <v>108</v>
      </c>
      <c r="F505" s="56" t="s">
        <v>2095</v>
      </c>
      <c r="G505" s="56" t="s">
        <v>2237</v>
      </c>
    </row>
    <row r="506" spans="1:7">
      <c r="A506" s="56" t="s">
        <v>2276</v>
      </c>
      <c r="B506" s="56" t="s">
        <v>2273</v>
      </c>
      <c r="C506" s="56" t="s">
        <v>2277</v>
      </c>
      <c r="D506" s="56" t="s">
        <v>2505</v>
      </c>
      <c r="E506" s="74" t="s">
        <v>2509</v>
      </c>
      <c r="F506" s="56" t="s">
        <v>2099</v>
      </c>
      <c r="G506" s="56" t="s">
        <v>2278</v>
      </c>
    </row>
    <row r="507" spans="1:7">
      <c r="A507" s="56" t="s">
        <v>2279</v>
      </c>
      <c r="B507" s="56" t="s">
        <v>2280</v>
      </c>
      <c r="C507" s="56" t="s">
        <v>108</v>
      </c>
      <c r="D507" s="56" t="s">
        <v>2505</v>
      </c>
      <c r="E507" s="74" t="s">
        <v>108</v>
      </c>
      <c r="F507" s="56" t="s">
        <v>2095</v>
      </c>
      <c r="G507" s="56" t="s">
        <v>2281</v>
      </c>
    </row>
    <row r="508" spans="1:7">
      <c r="A508" s="56" t="s">
        <v>2282</v>
      </c>
      <c r="B508" s="56" t="s">
        <v>2280</v>
      </c>
      <c r="C508" s="56" t="s">
        <v>108</v>
      </c>
      <c r="D508" s="56" t="s">
        <v>2505</v>
      </c>
      <c r="E508" s="74" t="s">
        <v>108</v>
      </c>
      <c r="F508" s="56" t="s">
        <v>2095</v>
      </c>
      <c r="G508" s="56" t="s">
        <v>2237</v>
      </c>
    </row>
    <row r="509" spans="1:7" ht="17.100000000000001">
      <c r="A509" s="75" t="s">
        <v>2510</v>
      </c>
      <c r="B509" s="75"/>
      <c r="C509" s="75"/>
      <c r="D509" s="75"/>
      <c r="E509" s="76"/>
      <c r="F509" s="75"/>
      <c r="G509" s="75"/>
    </row>
    <row r="510" spans="1:7">
      <c r="A510" s="56" t="s">
        <v>2284</v>
      </c>
      <c r="B510" s="56" t="s">
        <v>2285</v>
      </c>
      <c r="C510" s="56" t="s">
        <v>108</v>
      </c>
      <c r="D510" s="56" t="s">
        <v>2505</v>
      </c>
      <c r="E510" s="74" t="s">
        <v>108</v>
      </c>
      <c r="F510" s="56" t="s">
        <v>2095</v>
      </c>
      <c r="G510" s="56" t="s">
        <v>2286</v>
      </c>
    </row>
    <row r="511" spans="1:7">
      <c r="A511" s="56" t="s">
        <v>2287</v>
      </c>
      <c r="B511" s="56" t="s">
        <v>2248</v>
      </c>
      <c r="C511" s="56" t="s">
        <v>2288</v>
      </c>
      <c r="D511" s="56" t="s">
        <v>2505</v>
      </c>
      <c r="E511" s="74" t="s">
        <v>2425</v>
      </c>
      <c r="F511" s="56" t="s">
        <v>2101</v>
      </c>
      <c r="G511" s="56" t="s">
        <v>2237</v>
      </c>
    </row>
    <row r="512" spans="1:7">
      <c r="A512" s="56" t="s">
        <v>2289</v>
      </c>
      <c r="B512" s="56" t="s">
        <v>2248</v>
      </c>
      <c r="C512" s="56" t="s">
        <v>2254</v>
      </c>
      <c r="D512" s="56" t="s">
        <v>2505</v>
      </c>
      <c r="E512" s="74" t="s">
        <v>2425</v>
      </c>
      <c r="F512" s="56" t="s">
        <v>2101</v>
      </c>
      <c r="G512" s="56" t="s">
        <v>2237</v>
      </c>
    </row>
    <row r="513" spans="1:7">
      <c r="A513" s="56" t="s">
        <v>2290</v>
      </c>
      <c r="B513" s="56" t="s">
        <v>2248</v>
      </c>
      <c r="C513" s="56" t="s">
        <v>2254</v>
      </c>
      <c r="D513" s="56" t="s">
        <v>2505</v>
      </c>
      <c r="E513" s="74" t="s">
        <v>2425</v>
      </c>
      <c r="F513" s="56" t="s">
        <v>2101</v>
      </c>
      <c r="G513" s="56" t="s">
        <v>2237</v>
      </c>
    </row>
    <row r="514" spans="1:7">
      <c r="A514" s="56" t="s">
        <v>2291</v>
      </c>
      <c r="B514" s="56" t="s">
        <v>2292</v>
      </c>
      <c r="C514" s="56" t="s">
        <v>2254</v>
      </c>
      <c r="D514" s="56" t="s">
        <v>2505</v>
      </c>
      <c r="E514" s="74" t="s">
        <v>2425</v>
      </c>
      <c r="F514" s="56" t="s">
        <v>2101</v>
      </c>
      <c r="G514" s="56" t="s">
        <v>2237</v>
      </c>
    </row>
    <row r="515" spans="1:7">
      <c r="A515" s="56" t="s">
        <v>2293</v>
      </c>
      <c r="B515" s="56"/>
      <c r="C515" s="56" t="s">
        <v>2254</v>
      </c>
      <c r="D515" s="56" t="s">
        <v>2505</v>
      </c>
      <c r="E515" s="74" t="s">
        <v>2425</v>
      </c>
      <c r="F515" s="56" t="s">
        <v>2101</v>
      </c>
      <c r="G515" s="56" t="s">
        <v>2237</v>
      </c>
    </row>
    <row r="516" spans="1:7">
      <c r="A516" s="56" t="s">
        <v>2294</v>
      </c>
      <c r="B516" s="56"/>
      <c r="C516" s="56" t="s">
        <v>2254</v>
      </c>
      <c r="D516" s="56" t="s">
        <v>2505</v>
      </c>
      <c r="E516" s="74" t="s">
        <v>2425</v>
      </c>
      <c r="F516" s="56" t="s">
        <v>2101</v>
      </c>
      <c r="G516" s="56" t="s">
        <v>2237</v>
      </c>
    </row>
    <row r="517" spans="1:7">
      <c r="A517" s="56" t="s">
        <v>2295</v>
      </c>
      <c r="B517" s="56"/>
      <c r="C517" s="56" t="s">
        <v>2254</v>
      </c>
      <c r="D517" s="56" t="s">
        <v>2505</v>
      </c>
      <c r="E517" s="74" t="s">
        <v>2425</v>
      </c>
      <c r="F517" s="56" t="s">
        <v>2101</v>
      </c>
      <c r="G517" s="56" t="s">
        <v>2237</v>
      </c>
    </row>
    <row r="518" spans="1:7" ht="17.100000000000001">
      <c r="A518" s="75" t="s">
        <v>2511</v>
      </c>
      <c r="B518" s="75"/>
      <c r="C518" s="75"/>
      <c r="D518" s="75"/>
      <c r="E518" s="76"/>
      <c r="F518" s="75"/>
      <c r="G518" s="75"/>
    </row>
    <row r="519" spans="1:7">
      <c r="A519" s="56" t="s">
        <v>2297</v>
      </c>
      <c r="B519" s="56" t="s">
        <v>2298</v>
      </c>
      <c r="C519" s="56" t="s">
        <v>108</v>
      </c>
      <c r="D519" s="56" t="s">
        <v>2505</v>
      </c>
      <c r="E519" s="74" t="s">
        <v>108</v>
      </c>
      <c r="F519" s="56" t="s">
        <v>2095</v>
      </c>
      <c r="G519" s="56" t="s">
        <v>2237</v>
      </c>
    </row>
    <row r="520" spans="1:7">
      <c r="A520" s="56" t="s">
        <v>2299</v>
      </c>
      <c r="B520" s="56" t="s">
        <v>2298</v>
      </c>
      <c r="C520" s="56" t="s">
        <v>2300</v>
      </c>
      <c r="D520" s="56" t="s">
        <v>2505</v>
      </c>
      <c r="E520" s="74" t="s">
        <v>108</v>
      </c>
      <c r="F520" s="56" t="s">
        <v>2095</v>
      </c>
      <c r="G520" s="56" t="s">
        <v>2301</v>
      </c>
    </row>
    <row r="521" spans="1:7">
      <c r="A521" s="56" t="s">
        <v>2302</v>
      </c>
      <c r="B521" s="56"/>
      <c r="C521" s="56" t="s">
        <v>2303</v>
      </c>
      <c r="D521" s="56" t="s">
        <v>2505</v>
      </c>
      <c r="E521" s="74" t="s">
        <v>108</v>
      </c>
      <c r="F521" s="56" t="s">
        <v>2095</v>
      </c>
      <c r="G521" s="56" t="s">
        <v>2237</v>
      </c>
    </row>
    <row r="522" spans="1:7">
      <c r="A522" s="56" t="s">
        <v>2304</v>
      </c>
      <c r="B522" s="56"/>
      <c r="C522" s="56" t="s">
        <v>2254</v>
      </c>
      <c r="D522" s="56" t="s">
        <v>2505</v>
      </c>
      <c r="E522" s="74" t="s">
        <v>2425</v>
      </c>
      <c r="F522" s="56" t="s">
        <v>2101</v>
      </c>
      <c r="G522" s="56" t="s">
        <v>2237</v>
      </c>
    </row>
    <row r="523" spans="1:7">
      <c r="A523" s="56" t="s">
        <v>2305</v>
      </c>
      <c r="B523" s="56"/>
      <c r="C523" s="56" t="s">
        <v>2254</v>
      </c>
      <c r="D523" s="56" t="s">
        <v>2505</v>
      </c>
      <c r="E523" s="74" t="s">
        <v>2425</v>
      </c>
      <c r="F523" s="56" t="s">
        <v>2101</v>
      </c>
      <c r="G523" s="56" t="s">
        <v>2237</v>
      </c>
    </row>
    <row r="524" spans="1:7">
      <c r="A524" s="56" t="s">
        <v>2306</v>
      </c>
      <c r="B524" s="56" t="s">
        <v>2298</v>
      </c>
      <c r="C524" s="56" t="s">
        <v>2307</v>
      </c>
      <c r="D524" s="56" t="s">
        <v>2505</v>
      </c>
      <c r="E524" s="74" t="s">
        <v>2307</v>
      </c>
      <c r="F524" s="56" t="s">
        <v>2095</v>
      </c>
      <c r="G524" s="56" t="s">
        <v>2237</v>
      </c>
    </row>
    <row r="525" spans="1:7">
      <c r="A525" s="56" t="s">
        <v>2308</v>
      </c>
      <c r="B525" s="56" t="s">
        <v>2309</v>
      </c>
      <c r="C525" s="56" t="s">
        <v>108</v>
      </c>
      <c r="D525" s="56" t="s">
        <v>2505</v>
      </c>
      <c r="E525" s="74" t="s">
        <v>108</v>
      </c>
      <c r="F525" s="56" t="s">
        <v>2095</v>
      </c>
      <c r="G525" s="56" t="s">
        <v>2237</v>
      </c>
    </row>
    <row r="526" spans="1:7" ht="17.100000000000001">
      <c r="A526" s="75" t="s">
        <v>2512</v>
      </c>
      <c r="B526" s="75"/>
      <c r="C526" s="75"/>
      <c r="D526" s="75"/>
      <c r="E526" s="76"/>
      <c r="F526" s="75"/>
      <c r="G526" s="75"/>
    </row>
    <row r="527" spans="1:7">
      <c r="A527" s="56" t="s">
        <v>2311</v>
      </c>
      <c r="B527" s="56"/>
      <c r="C527" s="56" t="s">
        <v>2307</v>
      </c>
      <c r="D527" s="56" t="s">
        <v>2505</v>
      </c>
      <c r="E527" s="74" t="s">
        <v>2307</v>
      </c>
      <c r="F527" s="56" t="s">
        <v>2095</v>
      </c>
      <c r="G527" s="56" t="s">
        <v>2237</v>
      </c>
    </row>
    <row r="528" spans="1:7">
      <c r="A528" s="56" t="s">
        <v>2312</v>
      </c>
      <c r="B528" s="56"/>
      <c r="C528" s="56" t="s">
        <v>2313</v>
      </c>
      <c r="D528" s="56" t="s">
        <v>2505</v>
      </c>
      <c r="E528" s="74" t="s">
        <v>2313</v>
      </c>
      <c r="F528" s="56" t="s">
        <v>2099</v>
      </c>
      <c r="G528" s="56" t="s">
        <v>2237</v>
      </c>
    </row>
    <row r="529" spans="1:7">
      <c r="A529" s="56" t="s">
        <v>2314</v>
      </c>
      <c r="B529" s="56" t="s">
        <v>2298</v>
      </c>
      <c r="C529" s="56" t="s">
        <v>108</v>
      </c>
      <c r="D529" s="56" t="s">
        <v>2505</v>
      </c>
      <c r="E529" s="74" t="s">
        <v>108</v>
      </c>
      <c r="F529" s="56" t="s">
        <v>2095</v>
      </c>
      <c r="G529" s="56" t="s">
        <v>2237</v>
      </c>
    </row>
    <row r="530" spans="1:7">
      <c r="A530" s="56" t="s">
        <v>2315</v>
      </c>
      <c r="B530" s="56" t="s">
        <v>2298</v>
      </c>
      <c r="C530" s="56" t="s">
        <v>108</v>
      </c>
      <c r="D530" s="56" t="s">
        <v>2505</v>
      </c>
      <c r="E530" s="74" t="s">
        <v>108</v>
      </c>
      <c r="F530" s="56" t="s">
        <v>2095</v>
      </c>
      <c r="G530" s="56" t="s">
        <v>2237</v>
      </c>
    </row>
    <row r="531" spans="1:7">
      <c r="A531" s="56" t="s">
        <v>2316</v>
      </c>
      <c r="B531" s="56" t="s">
        <v>2292</v>
      </c>
      <c r="C531" s="56" t="s">
        <v>108</v>
      </c>
      <c r="D531" s="56" t="s">
        <v>2505</v>
      </c>
      <c r="E531" s="74" t="s">
        <v>108</v>
      </c>
      <c r="F531" s="56" t="s">
        <v>2095</v>
      </c>
      <c r="G531" s="56" t="s">
        <v>2237</v>
      </c>
    </row>
    <row r="532" spans="1:7">
      <c r="A532" s="56" t="s">
        <v>2317</v>
      </c>
      <c r="B532" s="56" t="s">
        <v>2318</v>
      </c>
      <c r="C532" s="56" t="s">
        <v>2307</v>
      </c>
      <c r="D532" s="56" t="s">
        <v>2505</v>
      </c>
      <c r="E532" s="74" t="s">
        <v>2307</v>
      </c>
      <c r="F532" s="56" t="s">
        <v>2095</v>
      </c>
      <c r="G532" s="56" t="s">
        <v>2237</v>
      </c>
    </row>
    <row r="533" spans="1:7">
      <c r="A533" s="56" t="s">
        <v>2319</v>
      </c>
      <c r="B533" s="56" t="s">
        <v>2318</v>
      </c>
      <c r="C533" s="56" t="s">
        <v>2307</v>
      </c>
      <c r="D533" s="56" t="s">
        <v>2505</v>
      </c>
      <c r="E533" s="74" t="s">
        <v>2307</v>
      </c>
      <c r="F533" s="56" t="s">
        <v>2095</v>
      </c>
      <c r="G533" s="56" t="s">
        <v>2237</v>
      </c>
    </row>
    <row r="534" spans="1:7">
      <c r="A534" s="56" t="s">
        <v>2320</v>
      </c>
      <c r="B534" s="56"/>
      <c r="C534" s="56" t="s">
        <v>2254</v>
      </c>
      <c r="D534" s="56" t="s">
        <v>2505</v>
      </c>
      <c r="E534" s="74" t="s">
        <v>2425</v>
      </c>
      <c r="F534" s="56" t="s">
        <v>2101</v>
      </c>
      <c r="G534" s="56" t="s">
        <v>2237</v>
      </c>
    </row>
    <row r="535" spans="1:7">
      <c r="A535" s="56" t="s">
        <v>2321</v>
      </c>
      <c r="B535" s="56" t="s">
        <v>2318</v>
      </c>
      <c r="C535" s="56" t="s">
        <v>108</v>
      </c>
      <c r="D535" s="56" t="s">
        <v>2505</v>
      </c>
      <c r="E535" s="74" t="s">
        <v>108</v>
      </c>
      <c r="F535" s="56" t="s">
        <v>2095</v>
      </c>
      <c r="G535" s="56" t="s">
        <v>2322</v>
      </c>
    </row>
    <row r="536" spans="1:7" ht="17.100000000000001">
      <c r="A536" s="75" t="s">
        <v>2513</v>
      </c>
      <c r="B536" s="75"/>
      <c r="C536" s="75"/>
      <c r="D536" s="75"/>
      <c r="E536" s="76"/>
      <c r="F536" s="75"/>
      <c r="G536" s="75"/>
    </row>
    <row r="537" spans="1:7">
      <c r="A537" s="56" t="s">
        <v>2324</v>
      </c>
      <c r="B537" s="56" t="s">
        <v>2325</v>
      </c>
      <c r="C537" s="56" t="s">
        <v>108</v>
      </c>
      <c r="D537" s="56" t="s">
        <v>2505</v>
      </c>
      <c r="E537" s="74" t="s">
        <v>108</v>
      </c>
      <c r="F537" s="56" t="s">
        <v>2095</v>
      </c>
      <c r="G537" s="56" t="s">
        <v>2237</v>
      </c>
    </row>
    <row r="538" spans="1:7">
      <c r="A538" s="56" t="s">
        <v>2326</v>
      </c>
      <c r="B538" s="56" t="s">
        <v>2327</v>
      </c>
      <c r="C538" s="56" t="s">
        <v>108</v>
      </c>
      <c r="D538" s="56" t="s">
        <v>2505</v>
      </c>
      <c r="E538" s="74" t="s">
        <v>108</v>
      </c>
      <c r="F538" s="56" t="s">
        <v>2095</v>
      </c>
      <c r="G538" s="56" t="s">
        <v>2237</v>
      </c>
    </row>
    <row r="539" spans="1:7">
      <c r="A539" s="56" t="s">
        <v>2328</v>
      </c>
      <c r="B539" s="56" t="s">
        <v>2327</v>
      </c>
      <c r="C539" s="56" t="s">
        <v>108</v>
      </c>
      <c r="D539" s="56" t="s">
        <v>2505</v>
      </c>
      <c r="E539" s="74" t="s">
        <v>108</v>
      </c>
      <c r="F539" s="56" t="s">
        <v>2095</v>
      </c>
      <c r="G539" s="56" t="s">
        <v>2237</v>
      </c>
    </row>
    <row r="540" spans="1:7" ht="17.100000000000001">
      <c r="A540" s="75" t="s">
        <v>2514</v>
      </c>
      <c r="B540" s="75"/>
      <c r="C540" s="75"/>
      <c r="D540" s="75"/>
      <c r="E540" s="76"/>
      <c r="F540" s="75"/>
      <c r="G540" s="75"/>
    </row>
    <row r="541" spans="1:7">
      <c r="A541" s="56" t="s">
        <v>2438</v>
      </c>
      <c r="B541" s="56" t="s">
        <v>2337</v>
      </c>
      <c r="C541" s="56" t="s">
        <v>549</v>
      </c>
      <c r="D541" s="56" t="s">
        <v>2505</v>
      </c>
      <c r="E541" s="74" t="s">
        <v>549</v>
      </c>
      <c r="F541" s="56" t="s">
        <v>2099</v>
      </c>
      <c r="G541" s="56" t="s">
        <v>2439</v>
      </c>
    </row>
    <row r="542" spans="1:7">
      <c r="A542" s="56" t="s">
        <v>2440</v>
      </c>
      <c r="B542" s="56" t="s">
        <v>2334</v>
      </c>
      <c r="C542" s="56" t="s">
        <v>2441</v>
      </c>
      <c r="D542" s="56" t="s">
        <v>2505</v>
      </c>
      <c r="E542" s="74" t="s">
        <v>549</v>
      </c>
      <c r="F542" s="56" t="s">
        <v>2099</v>
      </c>
      <c r="G542" s="56" t="s">
        <v>2442</v>
      </c>
    </row>
    <row r="543" spans="1:7">
      <c r="A543" s="56" t="s">
        <v>2330</v>
      </c>
      <c r="B543" s="56" t="s">
        <v>2331</v>
      </c>
      <c r="C543" s="56" t="s">
        <v>2307</v>
      </c>
      <c r="D543" s="56" t="s">
        <v>2505</v>
      </c>
      <c r="E543" s="74" t="s">
        <v>2307</v>
      </c>
      <c r="F543" s="56" t="s">
        <v>2095</v>
      </c>
      <c r="G543" s="56" t="s">
        <v>2332</v>
      </c>
    </row>
    <row r="544" spans="1:7">
      <c r="A544" s="56" t="s">
        <v>2333</v>
      </c>
      <c r="B544" s="56" t="s">
        <v>2334</v>
      </c>
      <c r="C544" s="56" t="s">
        <v>108</v>
      </c>
      <c r="D544" s="56" t="s">
        <v>2505</v>
      </c>
      <c r="E544" s="74" t="s">
        <v>108</v>
      </c>
      <c r="F544" s="56" t="s">
        <v>2095</v>
      </c>
      <c r="G544" s="56" t="s">
        <v>2335</v>
      </c>
    </row>
    <row r="545" spans="1:7">
      <c r="A545" s="56" t="s">
        <v>2336</v>
      </c>
      <c r="B545" s="56" t="s">
        <v>2337</v>
      </c>
      <c r="C545" s="56" t="s">
        <v>108</v>
      </c>
      <c r="D545" s="56" t="s">
        <v>2505</v>
      </c>
      <c r="E545" s="74" t="s">
        <v>108</v>
      </c>
      <c r="F545" s="56" t="s">
        <v>2095</v>
      </c>
      <c r="G545" s="56" t="s">
        <v>2338</v>
      </c>
    </row>
    <row r="546" spans="1:7">
      <c r="A546" s="56" t="s">
        <v>2339</v>
      </c>
      <c r="B546" s="56" t="s">
        <v>2340</v>
      </c>
      <c r="C546" s="56" t="s">
        <v>108</v>
      </c>
      <c r="D546" s="56" t="s">
        <v>2505</v>
      </c>
      <c r="E546" s="74" t="s">
        <v>108</v>
      </c>
      <c r="F546" s="56" t="s">
        <v>2095</v>
      </c>
      <c r="G546" s="56" t="s">
        <v>2341</v>
      </c>
    </row>
    <row r="547" spans="1:7">
      <c r="A547" s="56" t="s">
        <v>2342</v>
      </c>
      <c r="B547" s="56"/>
      <c r="C547" s="56" t="s">
        <v>2254</v>
      </c>
      <c r="D547" s="56" t="s">
        <v>2505</v>
      </c>
      <c r="E547" s="74" t="s">
        <v>2425</v>
      </c>
      <c r="F547" s="56" t="s">
        <v>2101</v>
      </c>
      <c r="G547" s="56" t="s">
        <v>2237</v>
      </c>
    </row>
    <row r="548" spans="1:7" ht="17.100000000000001">
      <c r="A548" s="75" t="s">
        <v>2515</v>
      </c>
      <c r="B548" s="75"/>
      <c r="C548" s="75"/>
      <c r="D548" s="75"/>
      <c r="E548" s="76"/>
      <c r="F548" s="75"/>
      <c r="G548" s="75"/>
    </row>
    <row r="549" spans="1:7">
      <c r="A549" s="56" t="s">
        <v>2344</v>
      </c>
      <c r="B549" s="56" t="s">
        <v>2334</v>
      </c>
      <c r="C549" s="56" t="s">
        <v>108</v>
      </c>
      <c r="D549" s="56" t="s">
        <v>2505</v>
      </c>
      <c r="E549" s="74" t="s">
        <v>108</v>
      </c>
      <c r="F549" s="56" t="s">
        <v>2095</v>
      </c>
      <c r="G549" s="56" t="s">
        <v>2345</v>
      </c>
    </row>
    <row r="550" spans="1:7">
      <c r="A550" s="56" t="s">
        <v>2410</v>
      </c>
      <c r="B550" s="56" t="s">
        <v>2236</v>
      </c>
      <c r="C550" s="56" t="s">
        <v>2411</v>
      </c>
      <c r="D550" s="56" t="s">
        <v>2505</v>
      </c>
      <c r="E550" s="74" t="s">
        <v>2444</v>
      </c>
      <c r="F550" s="56" t="s">
        <v>2101</v>
      </c>
      <c r="G550" s="56" t="s">
        <v>2413</v>
      </c>
    </row>
    <row r="551" spans="1:7">
      <c r="A551" s="56" t="s">
        <v>2445</v>
      </c>
      <c r="B551" s="56" t="s">
        <v>2236</v>
      </c>
      <c r="C551" s="56" t="s">
        <v>549</v>
      </c>
      <c r="D551" s="56" t="s">
        <v>2505</v>
      </c>
      <c r="E551" s="74" t="s">
        <v>549</v>
      </c>
      <c r="F551" s="56" t="s">
        <v>2099</v>
      </c>
      <c r="G551" s="56" t="s">
        <v>2446</v>
      </c>
    </row>
    <row r="552" spans="1:7">
      <c r="A552" s="56" t="s">
        <v>2346</v>
      </c>
      <c r="B552" s="56" t="s">
        <v>2347</v>
      </c>
      <c r="C552" s="56" t="s">
        <v>108</v>
      </c>
      <c r="D552" s="56" t="s">
        <v>2505</v>
      </c>
      <c r="E552" s="74" t="s">
        <v>108</v>
      </c>
      <c r="F552" s="56" t="s">
        <v>2095</v>
      </c>
      <c r="G552" s="56" t="s">
        <v>2348</v>
      </c>
    </row>
    <row r="553" spans="1:7">
      <c r="A553" s="56" t="s">
        <v>2349</v>
      </c>
      <c r="B553" s="56" t="s">
        <v>2350</v>
      </c>
      <c r="C553" s="56" t="s">
        <v>108</v>
      </c>
      <c r="D553" s="56" t="s">
        <v>2505</v>
      </c>
      <c r="E553" s="74" t="s">
        <v>108</v>
      </c>
      <c r="F553" s="56" t="s">
        <v>2095</v>
      </c>
      <c r="G553" s="56" t="s">
        <v>2351</v>
      </c>
    </row>
    <row r="554" spans="1:7">
      <c r="A554" s="56" t="s">
        <v>2352</v>
      </c>
      <c r="B554" s="56" t="s">
        <v>2353</v>
      </c>
      <c r="C554" s="56" t="s">
        <v>2307</v>
      </c>
      <c r="D554" s="56" t="s">
        <v>2505</v>
      </c>
      <c r="E554" s="74" t="s">
        <v>2307</v>
      </c>
      <c r="F554" s="56" t="s">
        <v>2095</v>
      </c>
      <c r="G554" s="56" t="s">
        <v>2237</v>
      </c>
    </row>
    <row r="555" spans="1:7">
      <c r="A555" s="56" t="s">
        <v>2354</v>
      </c>
      <c r="B555" s="56" t="s">
        <v>2353</v>
      </c>
      <c r="C555" s="56" t="s">
        <v>2355</v>
      </c>
      <c r="D555" s="56" t="s">
        <v>2505</v>
      </c>
      <c r="E555" s="74" t="s">
        <v>108</v>
      </c>
      <c r="F555" s="56" t="s">
        <v>2095</v>
      </c>
      <c r="G555" s="56" t="s">
        <v>2237</v>
      </c>
    </row>
    <row r="556" spans="1:7">
      <c r="A556" s="56" t="s">
        <v>2447</v>
      </c>
      <c r="B556" s="56" t="s">
        <v>2236</v>
      </c>
      <c r="C556" s="56" t="s">
        <v>549</v>
      </c>
      <c r="D556" s="56" t="s">
        <v>2505</v>
      </c>
      <c r="E556" s="74" t="s">
        <v>549</v>
      </c>
      <c r="F556" s="56" t="s">
        <v>2099</v>
      </c>
      <c r="G556" s="56" t="s">
        <v>2448</v>
      </c>
    </row>
    <row r="557" spans="1:7" ht="17.100000000000001">
      <c r="A557" s="75" t="s">
        <v>2516</v>
      </c>
      <c r="B557" s="75"/>
      <c r="C557" s="75"/>
      <c r="D557" s="75"/>
      <c r="E557" s="76"/>
      <c r="F557" s="75"/>
      <c r="G557" s="75"/>
    </row>
    <row r="558" spans="1:7">
      <c r="A558" s="56" t="s">
        <v>2450</v>
      </c>
      <c r="B558" s="56"/>
      <c r="C558" s="56" t="s">
        <v>549</v>
      </c>
      <c r="D558" s="56" t="s">
        <v>2505</v>
      </c>
      <c r="E558" s="74" t="s">
        <v>549</v>
      </c>
      <c r="F558" s="56" t="s">
        <v>2099</v>
      </c>
      <c r="G558" s="56" t="s">
        <v>2237</v>
      </c>
    </row>
    <row r="559" spans="1:7">
      <c r="A559" s="56" t="s">
        <v>2357</v>
      </c>
      <c r="B559" s="56" t="s">
        <v>2358</v>
      </c>
      <c r="C559" s="56" t="s">
        <v>108</v>
      </c>
      <c r="D559" s="56" t="s">
        <v>2505</v>
      </c>
      <c r="E559" s="74" t="s">
        <v>108</v>
      </c>
      <c r="F559" s="56" t="s">
        <v>2095</v>
      </c>
      <c r="G559" s="56" t="s">
        <v>2237</v>
      </c>
    </row>
    <row r="560" spans="1:7">
      <c r="A560" s="56" t="s">
        <v>2359</v>
      </c>
      <c r="B560" s="56" t="s">
        <v>2358</v>
      </c>
      <c r="C560" s="56" t="s">
        <v>2307</v>
      </c>
      <c r="D560" s="56" t="s">
        <v>2505</v>
      </c>
      <c r="E560" s="74" t="s">
        <v>2307</v>
      </c>
      <c r="F560" s="56" t="s">
        <v>2095</v>
      </c>
      <c r="G560" s="56" t="s">
        <v>2360</v>
      </c>
    </row>
    <row r="561" spans="1:7">
      <c r="A561" s="56" t="s">
        <v>2361</v>
      </c>
      <c r="B561" s="56" t="s">
        <v>2362</v>
      </c>
      <c r="C561" s="56" t="s">
        <v>2363</v>
      </c>
      <c r="D561" s="56" t="s">
        <v>2505</v>
      </c>
      <c r="E561" s="74" t="s">
        <v>2451</v>
      </c>
      <c r="F561" s="56" t="s">
        <v>2092</v>
      </c>
      <c r="G561" s="56" t="s">
        <v>2365</v>
      </c>
    </row>
    <row r="562" spans="1:7">
      <c r="A562" s="56" t="s">
        <v>2366</v>
      </c>
      <c r="B562" s="56" t="s">
        <v>2362</v>
      </c>
      <c r="C562" s="56" t="s">
        <v>2265</v>
      </c>
      <c r="D562" s="56" t="s">
        <v>2505</v>
      </c>
      <c r="E562" s="74" t="s">
        <v>108</v>
      </c>
      <c r="F562" s="56" t="s">
        <v>2095</v>
      </c>
      <c r="G562" s="56" t="s">
        <v>2367</v>
      </c>
    </row>
    <row r="563" spans="1:7">
      <c r="A563" s="56" t="s">
        <v>2368</v>
      </c>
      <c r="B563" s="56" t="s">
        <v>2358</v>
      </c>
      <c r="C563" s="56" t="s">
        <v>2369</v>
      </c>
      <c r="D563" s="56" t="s">
        <v>2505</v>
      </c>
      <c r="E563" s="74" t="s">
        <v>108</v>
      </c>
      <c r="F563" s="56" t="s">
        <v>2095</v>
      </c>
      <c r="G563" s="56" t="s">
        <v>2237</v>
      </c>
    </row>
    <row r="564" spans="1:7">
      <c r="A564" s="56" t="s">
        <v>2370</v>
      </c>
      <c r="B564" s="56" t="s">
        <v>2358</v>
      </c>
      <c r="C564" s="56" t="s">
        <v>2371</v>
      </c>
      <c r="D564" s="56" t="s">
        <v>2505</v>
      </c>
      <c r="E564" s="74" t="s">
        <v>108</v>
      </c>
      <c r="F564" s="56" t="s">
        <v>2095</v>
      </c>
      <c r="G564" s="56" t="s">
        <v>2372</v>
      </c>
    </row>
    <row r="565" spans="1:7" ht="17.100000000000001">
      <c r="A565" s="75" t="s">
        <v>2517</v>
      </c>
      <c r="B565" s="75"/>
      <c r="C565" s="75"/>
      <c r="D565" s="75"/>
      <c r="E565" s="76"/>
      <c r="F565" s="75"/>
      <c r="G565" s="75"/>
    </row>
    <row r="566" spans="1:7">
      <c r="A566" s="56" t="s">
        <v>2374</v>
      </c>
      <c r="B566" s="56" t="s">
        <v>2375</v>
      </c>
      <c r="C566" s="56" t="s">
        <v>2376</v>
      </c>
      <c r="D566" s="56" t="s">
        <v>2505</v>
      </c>
      <c r="E566" s="74" t="s">
        <v>108</v>
      </c>
      <c r="F566" s="56" t="s">
        <v>2095</v>
      </c>
      <c r="G566" s="56" t="s">
        <v>2377</v>
      </c>
    </row>
    <row r="567" spans="1:7">
      <c r="A567" s="56" t="s">
        <v>2378</v>
      </c>
      <c r="B567" s="56" t="s">
        <v>2379</v>
      </c>
      <c r="C567" s="56" t="s">
        <v>2380</v>
      </c>
      <c r="D567" s="56" t="s">
        <v>2505</v>
      </c>
      <c r="E567" s="74" t="s">
        <v>108</v>
      </c>
      <c r="F567" s="56" t="s">
        <v>2095</v>
      </c>
      <c r="G567" s="56" t="s">
        <v>2381</v>
      </c>
    </row>
    <row r="568" spans="1:7">
      <c r="A568" s="56" t="s">
        <v>2382</v>
      </c>
      <c r="B568" s="56"/>
      <c r="C568" s="56" t="s">
        <v>2254</v>
      </c>
      <c r="D568" s="56" t="s">
        <v>2505</v>
      </c>
      <c r="E568" s="74" t="s">
        <v>2425</v>
      </c>
      <c r="F568" s="56" t="s">
        <v>2101</v>
      </c>
      <c r="G568" s="56" t="s">
        <v>2237</v>
      </c>
    </row>
    <row r="569" spans="1:7">
      <c r="A569" s="56" t="s">
        <v>2383</v>
      </c>
      <c r="B569" s="56"/>
      <c r="C569" s="56" t="s">
        <v>108</v>
      </c>
      <c r="D569" s="56" t="s">
        <v>2505</v>
      </c>
      <c r="E569" s="74" t="s">
        <v>108</v>
      </c>
      <c r="F569" s="56" t="s">
        <v>2095</v>
      </c>
      <c r="G569" s="56" t="s">
        <v>2237</v>
      </c>
    </row>
    <row r="570" spans="1:7">
      <c r="A570" s="56" t="s">
        <v>2384</v>
      </c>
      <c r="B570" s="56" t="s">
        <v>2385</v>
      </c>
      <c r="C570" s="56" t="s">
        <v>2386</v>
      </c>
      <c r="D570" s="56" t="s">
        <v>2505</v>
      </c>
      <c r="E570" s="74" t="s">
        <v>2386</v>
      </c>
      <c r="F570" s="56" t="s">
        <v>2095</v>
      </c>
      <c r="G570" s="56" t="s">
        <v>2387</v>
      </c>
    </row>
    <row r="571" spans="1:7" ht="17.100000000000001">
      <c r="A571" s="75" t="s">
        <v>2518</v>
      </c>
      <c r="B571" s="75"/>
      <c r="C571" s="75"/>
      <c r="D571" s="75"/>
      <c r="E571" s="76"/>
      <c r="F571" s="75"/>
      <c r="G571" s="75"/>
    </row>
    <row r="572" spans="1:7">
      <c r="A572" s="56" t="s">
        <v>2389</v>
      </c>
      <c r="B572" s="56" t="s">
        <v>2241</v>
      </c>
      <c r="C572" s="56" t="s">
        <v>2390</v>
      </c>
      <c r="D572" s="56" t="s">
        <v>2519</v>
      </c>
      <c r="E572" s="74" t="s">
        <v>2392</v>
      </c>
      <c r="F572" s="56" t="s">
        <v>2123</v>
      </c>
      <c r="G572" s="56" t="s">
        <v>2393</v>
      </c>
    </row>
    <row r="573" spans="1:7">
      <c r="A573" s="56" t="s">
        <v>2230</v>
      </c>
      <c r="B573" s="56" t="s">
        <v>2231</v>
      </c>
      <c r="C573" s="56" t="s">
        <v>1562</v>
      </c>
      <c r="D573" s="56" t="s">
        <v>2519</v>
      </c>
      <c r="E573" s="74" t="s">
        <v>108</v>
      </c>
      <c r="F573" s="56" t="s">
        <v>2117</v>
      </c>
      <c r="G573" s="56" t="s">
        <v>2233</v>
      </c>
    </row>
    <row r="574" spans="1:7">
      <c r="A574" s="56" t="s">
        <v>2235</v>
      </c>
      <c r="B574" s="56" t="s">
        <v>2236</v>
      </c>
      <c r="C574" s="56" t="s">
        <v>1212</v>
      </c>
      <c r="D574" s="56" t="s">
        <v>2519</v>
      </c>
      <c r="E574" s="74" t="s">
        <v>1212</v>
      </c>
      <c r="F574" s="56" t="s">
        <v>2121</v>
      </c>
      <c r="G574" s="56" t="s">
        <v>2237</v>
      </c>
    </row>
    <row r="575" spans="1:7">
      <c r="A575" s="57" t="s">
        <v>2238</v>
      </c>
      <c r="B575" s="57"/>
      <c r="C575" s="57" t="s">
        <v>2239</v>
      </c>
      <c r="D575" s="57" t="s">
        <v>2519</v>
      </c>
      <c r="E575" s="58" t="s">
        <v>2422</v>
      </c>
      <c r="F575" s="58" t="s">
        <v>2423</v>
      </c>
      <c r="G575" s="57" t="s">
        <v>2237</v>
      </c>
    </row>
    <row r="576" spans="1:7">
      <c r="A576" s="56" t="s">
        <v>2240</v>
      </c>
      <c r="B576" s="56" t="s">
        <v>2241</v>
      </c>
      <c r="C576" s="56" t="s">
        <v>108</v>
      </c>
      <c r="D576" s="56" t="s">
        <v>2519</v>
      </c>
      <c r="E576" s="74" t="s">
        <v>108</v>
      </c>
      <c r="F576" s="56" t="s">
        <v>2117</v>
      </c>
      <c r="G576" s="56" t="s">
        <v>2237</v>
      </c>
    </row>
    <row r="577" spans="1:7">
      <c r="A577" s="56" t="s">
        <v>2242</v>
      </c>
      <c r="B577" s="56" t="s">
        <v>2243</v>
      </c>
      <c r="C577" s="56" t="s">
        <v>108</v>
      </c>
      <c r="D577" s="56" t="s">
        <v>2519</v>
      </c>
      <c r="E577" s="74" t="s">
        <v>108</v>
      </c>
      <c r="F577" s="56" t="s">
        <v>2117</v>
      </c>
      <c r="G577" s="56" t="s">
        <v>2244</v>
      </c>
    </row>
    <row r="578" spans="1:7">
      <c r="A578" s="56" t="s">
        <v>2245</v>
      </c>
      <c r="B578" s="56"/>
      <c r="C578" s="56" t="s">
        <v>108</v>
      </c>
      <c r="D578" s="56" t="s">
        <v>2519</v>
      </c>
      <c r="E578" s="74" t="s">
        <v>108</v>
      </c>
      <c r="F578" s="56" t="s">
        <v>2117</v>
      </c>
      <c r="G578" s="56" t="s">
        <v>2237</v>
      </c>
    </row>
    <row r="579" spans="1:7" ht="17.100000000000001">
      <c r="A579" s="75" t="s">
        <v>2520</v>
      </c>
      <c r="B579" s="75"/>
      <c r="C579" s="75"/>
      <c r="D579" s="75"/>
      <c r="E579" s="76"/>
      <c r="F579" s="75"/>
      <c r="G579" s="75"/>
    </row>
    <row r="580" spans="1:7">
      <c r="A580" s="56" t="s">
        <v>2247</v>
      </c>
      <c r="B580" s="56" t="s">
        <v>2248</v>
      </c>
      <c r="C580" s="56" t="s">
        <v>108</v>
      </c>
      <c r="D580" s="56" t="s">
        <v>2519</v>
      </c>
      <c r="E580" s="74" t="s">
        <v>108</v>
      </c>
      <c r="F580" s="56" t="s">
        <v>2117</v>
      </c>
      <c r="G580" s="56" t="s">
        <v>2237</v>
      </c>
    </row>
    <row r="581" spans="1:7">
      <c r="A581" s="56" t="s">
        <v>2249</v>
      </c>
      <c r="B581" s="56" t="s">
        <v>2250</v>
      </c>
      <c r="C581" s="56" t="s">
        <v>108</v>
      </c>
      <c r="D581" s="56" t="s">
        <v>2519</v>
      </c>
      <c r="E581" s="74" t="s">
        <v>108</v>
      </c>
      <c r="F581" s="56" t="s">
        <v>2117</v>
      </c>
      <c r="G581" s="56" t="s">
        <v>2251</v>
      </c>
    </row>
    <row r="582" spans="1:7">
      <c r="A582" s="56" t="s">
        <v>2252</v>
      </c>
      <c r="B582" s="56" t="s">
        <v>2250</v>
      </c>
      <c r="C582" s="56" t="s">
        <v>108</v>
      </c>
      <c r="D582" s="56" t="s">
        <v>2519</v>
      </c>
      <c r="E582" s="74" t="s">
        <v>108</v>
      </c>
      <c r="F582" s="56" t="s">
        <v>2117</v>
      </c>
      <c r="G582" s="56" t="s">
        <v>2237</v>
      </c>
    </row>
    <row r="583" spans="1:7">
      <c r="A583" s="56" t="s">
        <v>2253</v>
      </c>
      <c r="B583" s="56" t="s">
        <v>2236</v>
      </c>
      <c r="C583" s="56" t="s">
        <v>2254</v>
      </c>
      <c r="D583" s="56" t="s">
        <v>2519</v>
      </c>
      <c r="E583" s="74" t="s">
        <v>2521</v>
      </c>
      <c r="F583" s="56" t="s">
        <v>2123</v>
      </c>
      <c r="G583" s="56" t="s">
        <v>2237</v>
      </c>
    </row>
    <row r="584" spans="1:7">
      <c r="A584" s="56" t="s">
        <v>2256</v>
      </c>
      <c r="B584" s="56" t="s">
        <v>2257</v>
      </c>
      <c r="C584" s="56" t="s">
        <v>108</v>
      </c>
      <c r="D584" s="56" t="s">
        <v>2519</v>
      </c>
      <c r="E584" s="74" t="s">
        <v>108</v>
      </c>
      <c r="F584" s="56" t="s">
        <v>2117</v>
      </c>
      <c r="G584" s="56" t="s">
        <v>2258</v>
      </c>
    </row>
    <row r="585" spans="1:7" ht="17.100000000000001">
      <c r="A585" s="75" t="s">
        <v>2522</v>
      </c>
      <c r="B585" s="75"/>
      <c r="C585" s="75"/>
      <c r="D585" s="75"/>
      <c r="E585" s="76"/>
      <c r="F585" s="75"/>
      <c r="G585" s="75"/>
    </row>
    <row r="586" spans="1:7">
      <c r="A586" s="56" t="s">
        <v>2260</v>
      </c>
      <c r="B586" s="56" t="s">
        <v>2261</v>
      </c>
      <c r="C586" s="56" t="s">
        <v>108</v>
      </c>
      <c r="D586" s="56" t="s">
        <v>2519</v>
      </c>
      <c r="E586" s="74" t="s">
        <v>108</v>
      </c>
      <c r="F586" s="56" t="s">
        <v>2117</v>
      </c>
      <c r="G586" s="56" t="s">
        <v>2237</v>
      </c>
    </row>
    <row r="587" spans="1:7">
      <c r="A587" s="56" t="s">
        <v>2262</v>
      </c>
      <c r="B587" s="56" t="s">
        <v>2261</v>
      </c>
      <c r="C587" s="56" t="s">
        <v>2263</v>
      </c>
      <c r="D587" s="56" t="s">
        <v>2519</v>
      </c>
      <c r="E587" s="74" t="s">
        <v>108</v>
      </c>
      <c r="F587" s="56" t="s">
        <v>2117</v>
      </c>
      <c r="G587" s="56" t="s">
        <v>2237</v>
      </c>
    </row>
    <row r="588" spans="1:7">
      <c r="A588" s="56" t="s">
        <v>2264</v>
      </c>
      <c r="B588" s="56" t="s">
        <v>2261</v>
      </c>
      <c r="C588" s="56" t="s">
        <v>2265</v>
      </c>
      <c r="D588" s="56" t="s">
        <v>2519</v>
      </c>
      <c r="E588" s="74" t="s">
        <v>108</v>
      </c>
      <c r="F588" s="56" t="s">
        <v>2117</v>
      </c>
      <c r="G588" s="56" t="s">
        <v>2266</v>
      </c>
    </row>
    <row r="589" spans="1:7">
      <c r="A589" s="56" t="s">
        <v>2267</v>
      </c>
      <c r="B589" s="56" t="s">
        <v>2261</v>
      </c>
      <c r="C589" s="56" t="s">
        <v>108</v>
      </c>
      <c r="D589" s="56" t="s">
        <v>2519</v>
      </c>
      <c r="E589" s="74" t="s">
        <v>108</v>
      </c>
      <c r="F589" s="56" t="s">
        <v>2117</v>
      </c>
      <c r="G589" s="56" t="s">
        <v>2237</v>
      </c>
    </row>
    <row r="590" spans="1:7" ht="17.100000000000001">
      <c r="A590" s="75" t="s">
        <v>2523</v>
      </c>
      <c r="B590" s="75"/>
      <c r="C590" s="75"/>
      <c r="D590" s="75"/>
      <c r="E590" s="76"/>
      <c r="F590" s="75"/>
      <c r="G590" s="75"/>
    </row>
    <row r="591" spans="1:7">
      <c r="A591" s="56" t="s">
        <v>2269</v>
      </c>
      <c r="B591" s="56" t="s">
        <v>2270</v>
      </c>
      <c r="C591" s="56" t="s">
        <v>2271</v>
      </c>
      <c r="D591" s="56" t="s">
        <v>2519</v>
      </c>
      <c r="E591" s="74" t="s">
        <v>108</v>
      </c>
      <c r="F591" s="56" t="s">
        <v>2117</v>
      </c>
      <c r="G591" s="56" t="s">
        <v>2237</v>
      </c>
    </row>
    <row r="592" spans="1:7">
      <c r="A592" s="56" t="s">
        <v>2272</v>
      </c>
      <c r="B592" s="56" t="s">
        <v>2273</v>
      </c>
      <c r="C592" s="56" t="s">
        <v>108</v>
      </c>
      <c r="D592" s="56" t="s">
        <v>2519</v>
      </c>
      <c r="E592" s="74" t="s">
        <v>108</v>
      </c>
      <c r="F592" s="56" t="s">
        <v>2117</v>
      </c>
      <c r="G592" s="56" t="s">
        <v>2237</v>
      </c>
    </row>
    <row r="593" spans="1:7">
      <c r="A593" s="56" t="s">
        <v>2274</v>
      </c>
      <c r="B593" s="56" t="s">
        <v>2270</v>
      </c>
      <c r="C593" s="56" t="s">
        <v>2275</v>
      </c>
      <c r="D593" s="56" t="s">
        <v>2519</v>
      </c>
      <c r="E593" s="74" t="s">
        <v>108</v>
      </c>
      <c r="F593" s="56" t="s">
        <v>2117</v>
      </c>
      <c r="G593" s="56" t="s">
        <v>2237</v>
      </c>
    </row>
    <row r="594" spans="1:7">
      <c r="A594" s="56" t="s">
        <v>2276</v>
      </c>
      <c r="B594" s="56" t="s">
        <v>2273</v>
      </c>
      <c r="C594" s="56" t="s">
        <v>2277</v>
      </c>
      <c r="D594" s="56" t="s">
        <v>2519</v>
      </c>
      <c r="E594" s="74" t="s">
        <v>108</v>
      </c>
      <c r="F594" s="56" t="s">
        <v>2117</v>
      </c>
      <c r="G594" s="56" t="s">
        <v>2278</v>
      </c>
    </row>
    <row r="595" spans="1:7">
      <c r="A595" s="56" t="s">
        <v>2279</v>
      </c>
      <c r="B595" s="56" t="s">
        <v>2280</v>
      </c>
      <c r="C595" s="56" t="s">
        <v>108</v>
      </c>
      <c r="D595" s="56" t="s">
        <v>2519</v>
      </c>
      <c r="E595" s="74" t="s">
        <v>108</v>
      </c>
      <c r="F595" s="56" t="s">
        <v>2117</v>
      </c>
      <c r="G595" s="56" t="s">
        <v>2281</v>
      </c>
    </row>
    <row r="596" spans="1:7">
      <c r="A596" s="56" t="s">
        <v>2282</v>
      </c>
      <c r="B596" s="56" t="s">
        <v>2280</v>
      </c>
      <c r="C596" s="56" t="s">
        <v>108</v>
      </c>
      <c r="D596" s="56" t="s">
        <v>2519</v>
      </c>
      <c r="E596" s="74" t="s">
        <v>108</v>
      </c>
      <c r="F596" s="56" t="s">
        <v>2117</v>
      </c>
      <c r="G596" s="56" t="s">
        <v>2237</v>
      </c>
    </row>
    <row r="597" spans="1:7" ht="17.100000000000001">
      <c r="A597" s="75" t="s">
        <v>2524</v>
      </c>
      <c r="B597" s="75"/>
      <c r="C597" s="75"/>
      <c r="D597" s="75"/>
      <c r="E597" s="76"/>
      <c r="F597" s="75"/>
      <c r="G597" s="75"/>
    </row>
    <row r="598" spans="1:7">
      <c r="A598" s="56" t="s">
        <v>2284</v>
      </c>
      <c r="B598" s="56" t="s">
        <v>2285</v>
      </c>
      <c r="C598" s="56" t="s">
        <v>108</v>
      </c>
      <c r="D598" s="56" t="s">
        <v>2519</v>
      </c>
      <c r="E598" s="74" t="s">
        <v>108</v>
      </c>
      <c r="F598" s="56" t="s">
        <v>2117</v>
      </c>
      <c r="G598" s="56" t="s">
        <v>2286</v>
      </c>
    </row>
    <row r="599" spans="1:7">
      <c r="A599" s="56" t="s">
        <v>2287</v>
      </c>
      <c r="B599" s="56" t="s">
        <v>2248</v>
      </c>
      <c r="C599" s="56" t="s">
        <v>2288</v>
      </c>
      <c r="D599" s="56" t="s">
        <v>2519</v>
      </c>
      <c r="E599" s="74" t="s">
        <v>2521</v>
      </c>
      <c r="F599" s="56" t="s">
        <v>2123</v>
      </c>
      <c r="G599" s="56" t="s">
        <v>2237</v>
      </c>
    </row>
    <row r="600" spans="1:7">
      <c r="A600" s="56" t="s">
        <v>2289</v>
      </c>
      <c r="B600" s="56" t="s">
        <v>2248</v>
      </c>
      <c r="C600" s="56" t="s">
        <v>2254</v>
      </c>
      <c r="D600" s="56" t="s">
        <v>2519</v>
      </c>
      <c r="E600" s="74" t="s">
        <v>2521</v>
      </c>
      <c r="F600" s="56" t="s">
        <v>2123</v>
      </c>
      <c r="G600" s="56" t="s">
        <v>2237</v>
      </c>
    </row>
    <row r="601" spans="1:7">
      <c r="A601" s="56" t="s">
        <v>2290</v>
      </c>
      <c r="B601" s="56" t="s">
        <v>2248</v>
      </c>
      <c r="C601" s="56" t="s">
        <v>2254</v>
      </c>
      <c r="D601" s="56" t="s">
        <v>2519</v>
      </c>
      <c r="E601" s="74" t="s">
        <v>2521</v>
      </c>
      <c r="F601" s="56" t="s">
        <v>2123</v>
      </c>
      <c r="G601" s="56" t="s">
        <v>2237</v>
      </c>
    </row>
    <row r="602" spans="1:7">
      <c r="A602" s="56" t="s">
        <v>2291</v>
      </c>
      <c r="B602" s="56" t="s">
        <v>2292</v>
      </c>
      <c r="C602" s="56" t="s">
        <v>2254</v>
      </c>
      <c r="D602" s="56" t="s">
        <v>2519</v>
      </c>
      <c r="E602" s="74" t="s">
        <v>2521</v>
      </c>
      <c r="F602" s="56" t="s">
        <v>2123</v>
      </c>
      <c r="G602" s="56" t="s">
        <v>2237</v>
      </c>
    </row>
    <row r="603" spans="1:7">
      <c r="A603" s="56" t="s">
        <v>2293</v>
      </c>
      <c r="B603" s="56"/>
      <c r="C603" s="56" t="s">
        <v>2254</v>
      </c>
      <c r="D603" s="56" t="s">
        <v>2519</v>
      </c>
      <c r="E603" s="74" t="s">
        <v>2521</v>
      </c>
      <c r="F603" s="56" t="s">
        <v>2123</v>
      </c>
      <c r="G603" s="56" t="s">
        <v>2237</v>
      </c>
    </row>
    <row r="604" spans="1:7">
      <c r="A604" s="56" t="s">
        <v>2294</v>
      </c>
      <c r="B604" s="56"/>
      <c r="C604" s="56" t="s">
        <v>2254</v>
      </c>
      <c r="D604" s="56" t="s">
        <v>2519</v>
      </c>
      <c r="E604" s="74" t="s">
        <v>2521</v>
      </c>
      <c r="F604" s="56" t="s">
        <v>2123</v>
      </c>
      <c r="G604" s="56" t="s">
        <v>2237</v>
      </c>
    </row>
    <row r="605" spans="1:7">
      <c r="A605" s="56" t="s">
        <v>2295</v>
      </c>
      <c r="B605" s="56"/>
      <c r="C605" s="56" t="s">
        <v>2254</v>
      </c>
      <c r="D605" s="56" t="s">
        <v>2519</v>
      </c>
      <c r="E605" s="74" t="s">
        <v>2521</v>
      </c>
      <c r="F605" s="56" t="s">
        <v>2123</v>
      </c>
      <c r="G605" s="56" t="s">
        <v>2237</v>
      </c>
    </row>
    <row r="606" spans="1:7" ht="17.100000000000001">
      <c r="A606" s="75" t="s">
        <v>2525</v>
      </c>
      <c r="B606" s="75"/>
      <c r="C606" s="75"/>
      <c r="D606" s="75"/>
      <c r="E606" s="76"/>
      <c r="F606" s="75"/>
      <c r="G606" s="75"/>
    </row>
    <row r="607" spans="1:7">
      <c r="A607" s="56" t="s">
        <v>2297</v>
      </c>
      <c r="B607" s="56" t="s">
        <v>2298</v>
      </c>
      <c r="C607" s="56" t="s">
        <v>108</v>
      </c>
      <c r="D607" s="56" t="s">
        <v>2519</v>
      </c>
      <c r="E607" s="74" t="s">
        <v>108</v>
      </c>
      <c r="F607" s="56" t="s">
        <v>2117</v>
      </c>
      <c r="G607" s="56" t="s">
        <v>2237</v>
      </c>
    </row>
    <row r="608" spans="1:7">
      <c r="A608" s="56" t="s">
        <v>2299</v>
      </c>
      <c r="B608" s="56" t="s">
        <v>2298</v>
      </c>
      <c r="C608" s="56" t="s">
        <v>2300</v>
      </c>
      <c r="D608" s="56" t="s">
        <v>2519</v>
      </c>
      <c r="E608" s="74" t="s">
        <v>108</v>
      </c>
      <c r="F608" s="56" t="s">
        <v>2117</v>
      </c>
      <c r="G608" s="56" t="s">
        <v>2301</v>
      </c>
    </row>
    <row r="609" spans="1:7">
      <c r="A609" s="56" t="s">
        <v>2302</v>
      </c>
      <c r="B609" s="56"/>
      <c r="C609" s="56" t="s">
        <v>2303</v>
      </c>
      <c r="D609" s="56" t="s">
        <v>2519</v>
      </c>
      <c r="E609" s="74" t="s">
        <v>108</v>
      </c>
      <c r="F609" s="56" t="s">
        <v>2117</v>
      </c>
      <c r="G609" s="56" t="s">
        <v>2237</v>
      </c>
    </row>
    <row r="610" spans="1:7">
      <c r="A610" s="56" t="s">
        <v>2304</v>
      </c>
      <c r="B610" s="56"/>
      <c r="C610" s="56" t="s">
        <v>2254</v>
      </c>
      <c r="D610" s="56" t="s">
        <v>2519</v>
      </c>
      <c r="E610" s="74" t="s">
        <v>2521</v>
      </c>
      <c r="F610" s="56" t="s">
        <v>2123</v>
      </c>
      <c r="G610" s="56" t="s">
        <v>2237</v>
      </c>
    </row>
    <row r="611" spans="1:7">
      <c r="A611" s="56" t="s">
        <v>2305</v>
      </c>
      <c r="B611" s="56"/>
      <c r="C611" s="56" t="s">
        <v>2254</v>
      </c>
      <c r="D611" s="56" t="s">
        <v>2519</v>
      </c>
      <c r="E611" s="74" t="s">
        <v>2521</v>
      </c>
      <c r="F611" s="56" t="s">
        <v>2123</v>
      </c>
      <c r="G611" s="56" t="s">
        <v>2237</v>
      </c>
    </row>
    <row r="612" spans="1:7">
      <c r="A612" s="56" t="s">
        <v>2306</v>
      </c>
      <c r="B612" s="56" t="s">
        <v>2298</v>
      </c>
      <c r="C612" s="56" t="s">
        <v>2307</v>
      </c>
      <c r="D612" s="56" t="s">
        <v>2519</v>
      </c>
      <c r="E612" s="74" t="s">
        <v>2307</v>
      </c>
      <c r="F612" s="56" t="s">
        <v>2117</v>
      </c>
      <c r="G612" s="56" t="s">
        <v>2237</v>
      </c>
    </row>
    <row r="613" spans="1:7">
      <c r="A613" s="56" t="s">
        <v>2308</v>
      </c>
      <c r="B613" s="56" t="s">
        <v>2309</v>
      </c>
      <c r="C613" s="56" t="s">
        <v>108</v>
      </c>
      <c r="D613" s="56" t="s">
        <v>2519</v>
      </c>
      <c r="E613" s="74" t="s">
        <v>108</v>
      </c>
      <c r="F613" s="56" t="s">
        <v>2117</v>
      </c>
      <c r="G613" s="56" t="s">
        <v>2237</v>
      </c>
    </row>
    <row r="614" spans="1:7" ht="17.100000000000001">
      <c r="A614" s="75" t="s">
        <v>2526</v>
      </c>
      <c r="B614" s="75"/>
      <c r="C614" s="75"/>
      <c r="D614" s="75"/>
      <c r="E614" s="76"/>
      <c r="F614" s="75"/>
      <c r="G614" s="75"/>
    </row>
    <row r="615" spans="1:7">
      <c r="A615" s="56" t="s">
        <v>2311</v>
      </c>
      <c r="B615" s="56"/>
      <c r="C615" s="56" t="s">
        <v>2307</v>
      </c>
      <c r="D615" s="56" t="s">
        <v>2519</v>
      </c>
      <c r="E615" s="74" t="s">
        <v>2307</v>
      </c>
      <c r="F615" s="56" t="s">
        <v>2117</v>
      </c>
      <c r="G615" s="56" t="s">
        <v>2237</v>
      </c>
    </row>
    <row r="616" spans="1:7">
      <c r="A616" s="56" t="s">
        <v>2312</v>
      </c>
      <c r="B616" s="56"/>
      <c r="C616" s="56" t="s">
        <v>2313</v>
      </c>
      <c r="D616" s="56" t="s">
        <v>2519</v>
      </c>
      <c r="E616" s="74" t="s">
        <v>2307</v>
      </c>
      <c r="F616" s="56" t="s">
        <v>2117</v>
      </c>
      <c r="G616" s="56" t="s">
        <v>2237</v>
      </c>
    </row>
    <row r="617" spans="1:7">
      <c r="A617" s="56" t="s">
        <v>2314</v>
      </c>
      <c r="B617" s="56" t="s">
        <v>2298</v>
      </c>
      <c r="C617" s="56" t="s">
        <v>108</v>
      </c>
      <c r="D617" s="56" t="s">
        <v>2519</v>
      </c>
      <c r="E617" s="74" t="s">
        <v>108</v>
      </c>
      <c r="F617" s="56" t="s">
        <v>2117</v>
      </c>
      <c r="G617" s="56" t="s">
        <v>2237</v>
      </c>
    </row>
    <row r="618" spans="1:7">
      <c r="A618" s="56" t="s">
        <v>2315</v>
      </c>
      <c r="B618" s="56" t="s">
        <v>2298</v>
      </c>
      <c r="C618" s="56" t="s">
        <v>108</v>
      </c>
      <c r="D618" s="56" t="s">
        <v>2519</v>
      </c>
      <c r="E618" s="74" t="s">
        <v>108</v>
      </c>
      <c r="F618" s="56" t="s">
        <v>2117</v>
      </c>
      <c r="G618" s="56" t="s">
        <v>2237</v>
      </c>
    </row>
    <row r="619" spans="1:7">
      <c r="A619" s="56" t="s">
        <v>2316</v>
      </c>
      <c r="B619" s="56" t="s">
        <v>2292</v>
      </c>
      <c r="C619" s="56" t="s">
        <v>108</v>
      </c>
      <c r="D619" s="56" t="s">
        <v>2519</v>
      </c>
      <c r="E619" s="74" t="s">
        <v>108</v>
      </c>
      <c r="F619" s="56" t="s">
        <v>2117</v>
      </c>
      <c r="G619" s="56" t="s">
        <v>2237</v>
      </c>
    </row>
    <row r="620" spans="1:7">
      <c r="A620" s="56" t="s">
        <v>2317</v>
      </c>
      <c r="B620" s="56" t="s">
        <v>2318</v>
      </c>
      <c r="C620" s="56" t="s">
        <v>2307</v>
      </c>
      <c r="D620" s="56" t="s">
        <v>2519</v>
      </c>
      <c r="E620" s="74" t="s">
        <v>2307</v>
      </c>
      <c r="F620" s="56" t="s">
        <v>2117</v>
      </c>
      <c r="G620" s="56" t="s">
        <v>2237</v>
      </c>
    </row>
    <row r="621" spans="1:7">
      <c r="A621" s="56" t="s">
        <v>2319</v>
      </c>
      <c r="B621" s="56" t="s">
        <v>2318</v>
      </c>
      <c r="C621" s="56" t="s">
        <v>2307</v>
      </c>
      <c r="D621" s="56" t="s">
        <v>2519</v>
      </c>
      <c r="E621" s="74" t="s">
        <v>2307</v>
      </c>
      <c r="F621" s="56" t="s">
        <v>2117</v>
      </c>
      <c r="G621" s="56" t="s">
        <v>2237</v>
      </c>
    </row>
    <row r="622" spans="1:7">
      <c r="A622" s="56" t="s">
        <v>2320</v>
      </c>
      <c r="B622" s="56"/>
      <c r="C622" s="56" t="s">
        <v>2254</v>
      </c>
      <c r="D622" s="56" t="s">
        <v>2519</v>
      </c>
      <c r="E622" s="74" t="s">
        <v>2521</v>
      </c>
      <c r="F622" s="56" t="s">
        <v>2123</v>
      </c>
      <c r="G622" s="56" t="s">
        <v>2237</v>
      </c>
    </row>
    <row r="623" spans="1:7">
      <c r="A623" s="56" t="s">
        <v>2321</v>
      </c>
      <c r="B623" s="56" t="s">
        <v>2318</v>
      </c>
      <c r="C623" s="56" t="s">
        <v>108</v>
      </c>
      <c r="D623" s="56" t="s">
        <v>2519</v>
      </c>
      <c r="E623" s="74" t="s">
        <v>108</v>
      </c>
      <c r="F623" s="56" t="s">
        <v>2117</v>
      </c>
      <c r="G623" s="56" t="s">
        <v>2322</v>
      </c>
    </row>
    <row r="624" spans="1:7" ht="17.100000000000001">
      <c r="A624" s="75" t="s">
        <v>2527</v>
      </c>
      <c r="B624" s="75"/>
      <c r="C624" s="75"/>
      <c r="D624" s="75"/>
      <c r="E624" s="76"/>
      <c r="F624" s="75"/>
      <c r="G624" s="75"/>
    </row>
    <row r="625" spans="1:7">
      <c r="A625" s="56" t="s">
        <v>2324</v>
      </c>
      <c r="B625" s="56" t="s">
        <v>2325</v>
      </c>
      <c r="C625" s="56" t="s">
        <v>108</v>
      </c>
      <c r="D625" s="56" t="s">
        <v>2519</v>
      </c>
      <c r="E625" s="74" t="s">
        <v>108</v>
      </c>
      <c r="F625" s="56" t="s">
        <v>2117</v>
      </c>
      <c r="G625" s="56" t="s">
        <v>2237</v>
      </c>
    </row>
    <row r="626" spans="1:7">
      <c r="A626" s="56" t="s">
        <v>2326</v>
      </c>
      <c r="B626" s="56" t="s">
        <v>2327</v>
      </c>
      <c r="C626" s="56" t="s">
        <v>108</v>
      </c>
      <c r="D626" s="56" t="s">
        <v>2519</v>
      </c>
      <c r="E626" s="74" t="s">
        <v>108</v>
      </c>
      <c r="F626" s="56" t="s">
        <v>2117</v>
      </c>
      <c r="G626" s="56" t="s">
        <v>2237</v>
      </c>
    </row>
    <row r="627" spans="1:7">
      <c r="A627" s="56" t="s">
        <v>2328</v>
      </c>
      <c r="B627" s="56" t="s">
        <v>2327</v>
      </c>
      <c r="C627" s="56" t="s">
        <v>108</v>
      </c>
      <c r="D627" s="56" t="s">
        <v>2519</v>
      </c>
      <c r="E627" s="74" t="s">
        <v>108</v>
      </c>
      <c r="F627" s="56" t="s">
        <v>2117</v>
      </c>
      <c r="G627" s="56" t="s">
        <v>2237</v>
      </c>
    </row>
    <row r="628" spans="1:7" ht="17.100000000000001">
      <c r="A628" s="75" t="s">
        <v>2528</v>
      </c>
      <c r="B628" s="75"/>
      <c r="C628" s="75"/>
      <c r="D628" s="75"/>
      <c r="E628" s="76"/>
      <c r="F628" s="75"/>
      <c r="G628" s="75"/>
    </row>
    <row r="629" spans="1:7">
      <c r="A629" s="56" t="s">
        <v>2403</v>
      </c>
      <c r="B629" s="56" t="s">
        <v>2331</v>
      </c>
      <c r="C629" s="56" t="s">
        <v>2390</v>
      </c>
      <c r="D629" s="56" t="s">
        <v>2519</v>
      </c>
      <c r="E629" s="74" t="s">
        <v>2392</v>
      </c>
      <c r="F629" s="56" t="s">
        <v>2123</v>
      </c>
      <c r="G629" s="56" t="s">
        <v>2404</v>
      </c>
    </row>
    <row r="630" spans="1:7">
      <c r="A630" s="56" t="s">
        <v>2405</v>
      </c>
      <c r="B630" s="56" t="s">
        <v>2406</v>
      </c>
      <c r="C630" s="56" t="s">
        <v>2390</v>
      </c>
      <c r="D630" s="56" t="s">
        <v>2519</v>
      </c>
      <c r="E630" s="74" t="s">
        <v>2392</v>
      </c>
      <c r="F630" s="56" t="s">
        <v>2123</v>
      </c>
      <c r="G630" s="56" t="s">
        <v>2407</v>
      </c>
    </row>
    <row r="631" spans="1:7">
      <c r="A631" s="56" t="s">
        <v>2330</v>
      </c>
      <c r="B631" s="56" t="s">
        <v>2331</v>
      </c>
      <c r="C631" s="56" t="s">
        <v>2307</v>
      </c>
      <c r="D631" s="56" t="s">
        <v>2519</v>
      </c>
      <c r="E631" s="74" t="s">
        <v>2307</v>
      </c>
      <c r="F631" s="56" t="s">
        <v>2117</v>
      </c>
      <c r="G631" s="56" t="s">
        <v>2332</v>
      </c>
    </row>
    <row r="632" spans="1:7">
      <c r="A632" s="56" t="s">
        <v>2333</v>
      </c>
      <c r="B632" s="56" t="s">
        <v>2334</v>
      </c>
      <c r="C632" s="56" t="s">
        <v>108</v>
      </c>
      <c r="D632" s="56" t="s">
        <v>2519</v>
      </c>
      <c r="E632" s="74" t="s">
        <v>108</v>
      </c>
      <c r="F632" s="56" t="s">
        <v>2117</v>
      </c>
      <c r="G632" s="56" t="s">
        <v>2335</v>
      </c>
    </row>
    <row r="633" spans="1:7">
      <c r="A633" s="56" t="s">
        <v>2336</v>
      </c>
      <c r="B633" s="56" t="s">
        <v>2337</v>
      </c>
      <c r="C633" s="56" t="s">
        <v>108</v>
      </c>
      <c r="D633" s="56" t="s">
        <v>2519</v>
      </c>
      <c r="E633" s="74" t="s">
        <v>108</v>
      </c>
      <c r="F633" s="56" t="s">
        <v>2117</v>
      </c>
      <c r="G633" s="56" t="s">
        <v>2338</v>
      </c>
    </row>
    <row r="634" spans="1:7">
      <c r="A634" s="56" t="s">
        <v>2339</v>
      </c>
      <c r="B634" s="56" t="s">
        <v>2340</v>
      </c>
      <c r="C634" s="56" t="s">
        <v>108</v>
      </c>
      <c r="D634" s="56" t="s">
        <v>2519</v>
      </c>
      <c r="E634" s="74" t="s">
        <v>108</v>
      </c>
      <c r="F634" s="56" t="s">
        <v>2117</v>
      </c>
      <c r="G634" s="56" t="s">
        <v>2341</v>
      </c>
    </row>
    <row r="635" spans="1:7">
      <c r="A635" s="56" t="s">
        <v>2342</v>
      </c>
      <c r="B635" s="56"/>
      <c r="C635" s="56" t="s">
        <v>2254</v>
      </c>
      <c r="D635" s="56" t="s">
        <v>2519</v>
      </c>
      <c r="E635" s="74" t="s">
        <v>2521</v>
      </c>
      <c r="F635" s="56" t="s">
        <v>2123</v>
      </c>
      <c r="G635" s="56" t="s">
        <v>2237</v>
      </c>
    </row>
    <row r="636" spans="1:7" ht="17.100000000000001">
      <c r="A636" s="75" t="s">
        <v>2529</v>
      </c>
      <c r="B636" s="75"/>
      <c r="C636" s="75"/>
      <c r="D636" s="75"/>
      <c r="E636" s="76"/>
      <c r="F636" s="75"/>
      <c r="G636" s="75"/>
    </row>
    <row r="637" spans="1:7">
      <c r="A637" s="56" t="s">
        <v>2344</v>
      </c>
      <c r="B637" s="56" t="s">
        <v>2334</v>
      </c>
      <c r="C637" s="56" t="s">
        <v>108</v>
      </c>
      <c r="D637" s="56" t="s">
        <v>2519</v>
      </c>
      <c r="E637" s="74" t="s">
        <v>108</v>
      </c>
      <c r="F637" s="56" t="s">
        <v>2117</v>
      </c>
      <c r="G637" s="56" t="s">
        <v>2345</v>
      </c>
    </row>
    <row r="638" spans="1:7">
      <c r="A638" s="56" t="s">
        <v>2409</v>
      </c>
      <c r="B638" s="56" t="s">
        <v>2236</v>
      </c>
      <c r="C638" s="56" t="s">
        <v>2390</v>
      </c>
      <c r="D638" s="56" t="s">
        <v>2519</v>
      </c>
      <c r="E638" s="74" t="s">
        <v>2392</v>
      </c>
      <c r="F638" s="56" t="s">
        <v>2123</v>
      </c>
      <c r="G638" s="56" t="s">
        <v>2237</v>
      </c>
    </row>
    <row r="639" spans="1:7">
      <c r="A639" s="56" t="s">
        <v>2410</v>
      </c>
      <c r="B639" s="56" t="s">
        <v>2236</v>
      </c>
      <c r="C639" s="56" t="s">
        <v>2411</v>
      </c>
      <c r="D639" s="56" t="s">
        <v>2519</v>
      </c>
      <c r="E639" s="74" t="s">
        <v>2412</v>
      </c>
      <c r="F639" s="56" t="s">
        <v>2123</v>
      </c>
      <c r="G639" s="56" t="s">
        <v>2413</v>
      </c>
    </row>
    <row r="640" spans="1:7">
      <c r="A640" s="56" t="s">
        <v>2346</v>
      </c>
      <c r="B640" s="56" t="s">
        <v>2347</v>
      </c>
      <c r="C640" s="56" t="s">
        <v>108</v>
      </c>
      <c r="D640" s="56" t="s">
        <v>2519</v>
      </c>
      <c r="E640" s="74" t="s">
        <v>108</v>
      </c>
      <c r="F640" s="56" t="s">
        <v>2117</v>
      </c>
      <c r="G640" s="56" t="s">
        <v>2348</v>
      </c>
    </row>
    <row r="641" spans="1:7">
      <c r="A641" s="56" t="s">
        <v>2349</v>
      </c>
      <c r="B641" s="56" t="s">
        <v>2350</v>
      </c>
      <c r="C641" s="56" t="s">
        <v>108</v>
      </c>
      <c r="D641" s="56" t="s">
        <v>2519</v>
      </c>
      <c r="E641" s="74" t="s">
        <v>108</v>
      </c>
      <c r="F641" s="56" t="s">
        <v>2117</v>
      </c>
      <c r="G641" s="56" t="s">
        <v>2351</v>
      </c>
    </row>
    <row r="642" spans="1:7">
      <c r="A642" s="56" t="s">
        <v>2352</v>
      </c>
      <c r="B642" s="56" t="s">
        <v>2353</v>
      </c>
      <c r="C642" s="56" t="s">
        <v>2307</v>
      </c>
      <c r="D642" s="56" t="s">
        <v>2519</v>
      </c>
      <c r="E642" s="74" t="s">
        <v>2307</v>
      </c>
      <c r="F642" s="56" t="s">
        <v>2117</v>
      </c>
      <c r="G642" s="56" t="s">
        <v>2237</v>
      </c>
    </row>
    <row r="643" spans="1:7">
      <c r="A643" s="56" t="s">
        <v>2354</v>
      </c>
      <c r="B643" s="56" t="s">
        <v>2353</v>
      </c>
      <c r="C643" s="56" t="s">
        <v>2355</v>
      </c>
      <c r="D643" s="56" t="s">
        <v>2519</v>
      </c>
      <c r="E643" s="74" t="s">
        <v>108</v>
      </c>
      <c r="F643" s="56" t="s">
        <v>2117</v>
      </c>
      <c r="G643" s="56" t="s">
        <v>2237</v>
      </c>
    </row>
    <row r="644" spans="1:7" ht="17.100000000000001">
      <c r="A644" s="75" t="s">
        <v>2530</v>
      </c>
      <c r="B644" s="75"/>
      <c r="C644" s="75"/>
      <c r="D644" s="75"/>
      <c r="E644" s="76"/>
      <c r="F644" s="75"/>
      <c r="G644" s="75"/>
    </row>
    <row r="645" spans="1:7">
      <c r="A645" s="56" t="s">
        <v>2357</v>
      </c>
      <c r="B645" s="56" t="s">
        <v>2358</v>
      </c>
      <c r="C645" s="56" t="s">
        <v>108</v>
      </c>
      <c r="D645" s="56" t="s">
        <v>2519</v>
      </c>
      <c r="E645" s="74" t="s">
        <v>108</v>
      </c>
      <c r="F645" s="56" t="s">
        <v>2117</v>
      </c>
      <c r="G645" s="56" t="s">
        <v>2237</v>
      </c>
    </row>
    <row r="646" spans="1:7">
      <c r="A646" s="56" t="s">
        <v>2359</v>
      </c>
      <c r="B646" s="56" t="s">
        <v>2358</v>
      </c>
      <c r="C646" s="56" t="s">
        <v>2307</v>
      </c>
      <c r="D646" s="56" t="s">
        <v>2519</v>
      </c>
      <c r="E646" s="74" t="s">
        <v>2307</v>
      </c>
      <c r="F646" s="56" t="s">
        <v>2117</v>
      </c>
      <c r="G646" s="56" t="s">
        <v>2360</v>
      </c>
    </row>
    <row r="647" spans="1:7">
      <c r="A647" s="56" t="s">
        <v>2361</v>
      </c>
      <c r="B647" s="56" t="s">
        <v>2362</v>
      </c>
      <c r="C647" s="56" t="s">
        <v>2363</v>
      </c>
      <c r="D647" s="56" t="s">
        <v>2519</v>
      </c>
      <c r="E647" s="74" t="s">
        <v>2456</v>
      </c>
      <c r="F647" s="56" t="s">
        <v>2121</v>
      </c>
      <c r="G647" s="56" t="s">
        <v>2365</v>
      </c>
    </row>
    <row r="648" spans="1:7">
      <c r="A648" s="56" t="s">
        <v>2366</v>
      </c>
      <c r="B648" s="56" t="s">
        <v>2362</v>
      </c>
      <c r="C648" s="56" t="s">
        <v>2265</v>
      </c>
      <c r="D648" s="56" t="s">
        <v>2519</v>
      </c>
      <c r="E648" s="74" t="s">
        <v>108</v>
      </c>
      <c r="F648" s="56" t="s">
        <v>2117</v>
      </c>
      <c r="G648" s="56" t="s">
        <v>2367</v>
      </c>
    </row>
    <row r="649" spans="1:7">
      <c r="A649" s="56" t="s">
        <v>2368</v>
      </c>
      <c r="B649" s="56" t="s">
        <v>2358</v>
      </c>
      <c r="C649" s="56" t="s">
        <v>2369</v>
      </c>
      <c r="D649" s="56" t="s">
        <v>2519</v>
      </c>
      <c r="E649" s="74" t="s">
        <v>108</v>
      </c>
      <c r="F649" s="56" t="s">
        <v>2117</v>
      </c>
      <c r="G649" s="56" t="s">
        <v>2237</v>
      </c>
    </row>
    <row r="650" spans="1:7">
      <c r="A650" s="56" t="s">
        <v>2370</v>
      </c>
      <c r="B650" s="56" t="s">
        <v>2358</v>
      </c>
      <c r="C650" s="56" t="s">
        <v>2371</v>
      </c>
      <c r="D650" s="56" t="s">
        <v>2519</v>
      </c>
      <c r="E650" s="74" t="s">
        <v>108</v>
      </c>
      <c r="F650" s="56" t="s">
        <v>2117</v>
      </c>
      <c r="G650" s="56" t="s">
        <v>2372</v>
      </c>
    </row>
    <row r="651" spans="1:7" ht="17.100000000000001">
      <c r="A651" s="75" t="s">
        <v>2531</v>
      </c>
      <c r="B651" s="75"/>
      <c r="C651" s="75"/>
      <c r="D651" s="75"/>
      <c r="E651" s="76"/>
      <c r="F651" s="75"/>
      <c r="G651" s="75"/>
    </row>
    <row r="652" spans="1:7">
      <c r="A652" s="56" t="s">
        <v>2416</v>
      </c>
      <c r="B652" s="56"/>
      <c r="C652" s="56" t="s">
        <v>2390</v>
      </c>
      <c r="D652" s="56" t="s">
        <v>2519</v>
      </c>
      <c r="E652" s="74" t="s">
        <v>2392</v>
      </c>
      <c r="F652" s="56" t="s">
        <v>2123</v>
      </c>
      <c r="G652" s="56" t="s">
        <v>2417</v>
      </c>
    </row>
    <row r="653" spans="1:7">
      <c r="A653" s="56" t="s">
        <v>2374</v>
      </c>
      <c r="B653" s="56" t="s">
        <v>2375</v>
      </c>
      <c r="C653" s="56" t="s">
        <v>2376</v>
      </c>
      <c r="D653" s="56" t="s">
        <v>2519</v>
      </c>
      <c r="E653" s="74" t="s">
        <v>108</v>
      </c>
      <c r="F653" s="56" t="s">
        <v>2117</v>
      </c>
      <c r="G653" s="56" t="s">
        <v>2377</v>
      </c>
    </row>
    <row r="654" spans="1:7">
      <c r="A654" s="56" t="s">
        <v>2378</v>
      </c>
      <c r="B654" s="56" t="s">
        <v>2379</v>
      </c>
      <c r="C654" s="56" t="s">
        <v>2380</v>
      </c>
      <c r="D654" s="56" t="s">
        <v>2519</v>
      </c>
      <c r="E654" s="74" t="s">
        <v>108</v>
      </c>
      <c r="F654" s="56" t="s">
        <v>2117</v>
      </c>
      <c r="G654" s="56" t="s">
        <v>2381</v>
      </c>
    </row>
    <row r="655" spans="1:7">
      <c r="A655" s="56" t="s">
        <v>2418</v>
      </c>
      <c r="B655" s="56" t="s">
        <v>2385</v>
      </c>
      <c r="C655" s="56" t="s">
        <v>2390</v>
      </c>
      <c r="D655" s="56" t="s">
        <v>2519</v>
      </c>
      <c r="E655" s="74" t="s">
        <v>2392</v>
      </c>
      <c r="F655" s="56" t="s">
        <v>2123</v>
      </c>
      <c r="G655" s="56" t="s">
        <v>2419</v>
      </c>
    </row>
    <row r="656" spans="1:7">
      <c r="A656" s="56" t="s">
        <v>2382</v>
      </c>
      <c r="B656" s="56"/>
      <c r="C656" s="56" t="s">
        <v>2254</v>
      </c>
      <c r="D656" s="56" t="s">
        <v>2519</v>
      </c>
      <c r="E656" s="74" t="s">
        <v>2521</v>
      </c>
      <c r="F656" s="56" t="s">
        <v>2123</v>
      </c>
      <c r="G656" s="56" t="s">
        <v>2237</v>
      </c>
    </row>
    <row r="657" spans="1:7">
      <c r="A657" s="56" t="s">
        <v>2383</v>
      </c>
      <c r="B657" s="56"/>
      <c r="C657" s="56" t="s">
        <v>108</v>
      </c>
      <c r="D657" s="56" t="s">
        <v>2519</v>
      </c>
      <c r="E657" s="74" t="s">
        <v>108</v>
      </c>
      <c r="F657" s="56" t="s">
        <v>2117</v>
      </c>
      <c r="G657" s="56" t="s">
        <v>2237</v>
      </c>
    </row>
    <row r="658" spans="1:7">
      <c r="A658" s="56" t="s">
        <v>2384</v>
      </c>
      <c r="B658" s="56" t="s">
        <v>2385</v>
      </c>
      <c r="C658" s="56" t="s">
        <v>2386</v>
      </c>
      <c r="D658" s="56" t="s">
        <v>2519</v>
      </c>
      <c r="E658" s="74" t="s">
        <v>2386</v>
      </c>
      <c r="F658" s="56" t="s">
        <v>2117</v>
      </c>
      <c r="G658" s="56" t="s">
        <v>2387</v>
      </c>
    </row>
    <row r="659" spans="1:7" ht="17.100000000000001">
      <c r="A659" s="75" t="s">
        <v>2532</v>
      </c>
      <c r="B659" s="75"/>
      <c r="C659" s="75"/>
      <c r="D659" s="75"/>
      <c r="E659" s="76"/>
      <c r="F659" s="75"/>
      <c r="G659" s="75"/>
    </row>
    <row r="660" spans="1:7">
      <c r="A660" s="56" t="s">
        <v>2389</v>
      </c>
      <c r="B660" s="56" t="s">
        <v>2241</v>
      </c>
      <c r="C660" s="56" t="s">
        <v>2390</v>
      </c>
      <c r="D660" s="56" t="s">
        <v>2533</v>
      </c>
      <c r="E660" s="74" t="s">
        <v>2392</v>
      </c>
      <c r="F660" s="56" t="s">
        <v>2144</v>
      </c>
      <c r="G660" s="56" t="s">
        <v>2393</v>
      </c>
    </row>
    <row r="661" spans="1:7">
      <c r="A661" s="56" t="s">
        <v>2235</v>
      </c>
      <c r="B661" s="56" t="s">
        <v>2236</v>
      </c>
      <c r="C661" s="56" t="s">
        <v>1212</v>
      </c>
      <c r="D661" s="56" t="s">
        <v>2533</v>
      </c>
      <c r="E661" s="74" t="s">
        <v>1212</v>
      </c>
      <c r="F661" s="56" t="s">
        <v>2142</v>
      </c>
      <c r="G661" s="56" t="s">
        <v>2237</v>
      </c>
    </row>
    <row r="662" spans="1:7">
      <c r="A662" s="56" t="s">
        <v>2238</v>
      </c>
      <c r="B662" s="56"/>
      <c r="C662" s="56" t="s">
        <v>2239</v>
      </c>
      <c r="D662" s="56" t="s">
        <v>2533</v>
      </c>
      <c r="E662" s="74" t="s">
        <v>1212</v>
      </c>
      <c r="F662" s="56" t="s">
        <v>2142</v>
      </c>
      <c r="G662" s="56" t="s">
        <v>2237</v>
      </c>
    </row>
    <row r="663" spans="1:7" ht="17.100000000000001">
      <c r="A663" s="75" t="s">
        <v>2534</v>
      </c>
      <c r="B663" s="75"/>
      <c r="C663" s="75"/>
      <c r="D663" s="75"/>
      <c r="E663" s="76"/>
      <c r="F663" s="75"/>
      <c r="G663" s="75"/>
    </row>
    <row r="664" spans="1:7">
      <c r="A664" s="56" t="s">
        <v>2253</v>
      </c>
      <c r="B664" s="56" t="s">
        <v>2236</v>
      </c>
      <c r="C664" s="56" t="s">
        <v>2254</v>
      </c>
      <c r="D664" s="56" t="s">
        <v>2533</v>
      </c>
      <c r="E664" s="74" t="s">
        <v>2395</v>
      </c>
      <c r="F664" s="56" t="s">
        <v>2144</v>
      </c>
      <c r="G664" s="56" t="s">
        <v>2237</v>
      </c>
    </row>
    <row r="665" spans="1:7" ht="17.100000000000001">
      <c r="A665" s="75" t="s">
        <v>2535</v>
      </c>
      <c r="B665" s="75"/>
      <c r="C665" s="75"/>
      <c r="D665" s="75"/>
      <c r="E665" s="76"/>
      <c r="F665" s="75"/>
      <c r="G665" s="75"/>
    </row>
    <row r="666" spans="1:7">
      <c r="A666" s="56" t="s">
        <v>2287</v>
      </c>
      <c r="B666" s="56" t="s">
        <v>2248</v>
      </c>
      <c r="C666" s="56" t="s">
        <v>2288</v>
      </c>
      <c r="D666" s="56" t="s">
        <v>2533</v>
      </c>
      <c r="E666" s="74" t="s">
        <v>2395</v>
      </c>
      <c r="F666" s="56" t="s">
        <v>2144</v>
      </c>
      <c r="G666" s="56" t="s">
        <v>2237</v>
      </c>
    </row>
    <row r="667" spans="1:7">
      <c r="A667" s="56" t="s">
        <v>2289</v>
      </c>
      <c r="B667" s="56" t="s">
        <v>2248</v>
      </c>
      <c r="C667" s="56" t="s">
        <v>2254</v>
      </c>
      <c r="D667" s="56" t="s">
        <v>2533</v>
      </c>
      <c r="E667" s="74" t="s">
        <v>2395</v>
      </c>
      <c r="F667" s="56" t="s">
        <v>2144</v>
      </c>
      <c r="G667" s="56" t="s">
        <v>2237</v>
      </c>
    </row>
    <row r="668" spans="1:7">
      <c r="A668" s="56" t="s">
        <v>2290</v>
      </c>
      <c r="B668" s="56" t="s">
        <v>2248</v>
      </c>
      <c r="C668" s="56" t="s">
        <v>2254</v>
      </c>
      <c r="D668" s="56" t="s">
        <v>2533</v>
      </c>
      <c r="E668" s="74" t="s">
        <v>2395</v>
      </c>
      <c r="F668" s="56" t="s">
        <v>2144</v>
      </c>
      <c r="G668" s="56" t="s">
        <v>2237</v>
      </c>
    </row>
    <row r="669" spans="1:7">
      <c r="A669" s="56" t="s">
        <v>2291</v>
      </c>
      <c r="B669" s="56" t="s">
        <v>2292</v>
      </c>
      <c r="C669" s="56" t="s">
        <v>2254</v>
      </c>
      <c r="D669" s="56" t="s">
        <v>2533</v>
      </c>
      <c r="E669" s="74" t="s">
        <v>2395</v>
      </c>
      <c r="F669" s="56" t="s">
        <v>2144</v>
      </c>
      <c r="G669" s="56" t="s">
        <v>2237</v>
      </c>
    </row>
    <row r="670" spans="1:7">
      <c r="A670" s="56" t="s">
        <v>2293</v>
      </c>
      <c r="B670" s="56"/>
      <c r="C670" s="56" t="s">
        <v>2254</v>
      </c>
      <c r="D670" s="56" t="s">
        <v>2533</v>
      </c>
      <c r="E670" s="74" t="s">
        <v>2395</v>
      </c>
      <c r="F670" s="56" t="s">
        <v>2144</v>
      </c>
      <c r="G670" s="56" t="s">
        <v>2237</v>
      </c>
    </row>
    <row r="671" spans="1:7">
      <c r="A671" s="56" t="s">
        <v>2294</v>
      </c>
      <c r="B671" s="56"/>
      <c r="C671" s="56" t="s">
        <v>2254</v>
      </c>
      <c r="D671" s="56" t="s">
        <v>2533</v>
      </c>
      <c r="E671" s="74" t="s">
        <v>2395</v>
      </c>
      <c r="F671" s="56" t="s">
        <v>2144</v>
      </c>
      <c r="G671" s="56" t="s">
        <v>2237</v>
      </c>
    </row>
    <row r="672" spans="1:7">
      <c r="A672" s="56" t="s">
        <v>2295</v>
      </c>
      <c r="B672" s="56"/>
      <c r="C672" s="56" t="s">
        <v>2254</v>
      </c>
      <c r="D672" s="56" t="s">
        <v>2533</v>
      </c>
      <c r="E672" s="74" t="s">
        <v>2395</v>
      </c>
      <c r="F672" s="56" t="s">
        <v>2144</v>
      </c>
      <c r="G672" s="56" t="s">
        <v>2237</v>
      </c>
    </row>
    <row r="673" spans="1:7" ht="17.100000000000001">
      <c r="A673" s="75" t="s">
        <v>2536</v>
      </c>
      <c r="B673" s="75"/>
      <c r="C673" s="75"/>
      <c r="D673" s="75"/>
      <c r="E673" s="76"/>
      <c r="F673" s="75"/>
      <c r="G673" s="75"/>
    </row>
    <row r="674" spans="1:7">
      <c r="A674" s="57" t="s">
        <v>2302</v>
      </c>
      <c r="B674" s="57"/>
      <c r="C674" s="57" t="s">
        <v>2303</v>
      </c>
      <c r="D674" s="57" t="s">
        <v>2533</v>
      </c>
      <c r="E674" s="58" t="s">
        <v>2462</v>
      </c>
      <c r="F674" s="58" t="s">
        <v>2423</v>
      </c>
      <c r="G674" s="57" t="s">
        <v>2237</v>
      </c>
    </row>
    <row r="675" spans="1:7">
      <c r="A675" s="56" t="s">
        <v>2304</v>
      </c>
      <c r="B675" s="56"/>
      <c r="C675" s="56" t="s">
        <v>2254</v>
      </c>
      <c r="D675" s="56" t="s">
        <v>2533</v>
      </c>
      <c r="E675" s="74" t="s">
        <v>2395</v>
      </c>
      <c r="F675" s="56" t="s">
        <v>2144</v>
      </c>
      <c r="G675" s="56" t="s">
        <v>2237</v>
      </c>
    </row>
    <row r="676" spans="1:7">
      <c r="A676" s="56" t="s">
        <v>2305</v>
      </c>
      <c r="B676" s="56"/>
      <c r="C676" s="56" t="s">
        <v>2254</v>
      </c>
      <c r="D676" s="56" t="s">
        <v>2533</v>
      </c>
      <c r="E676" s="74" t="s">
        <v>2395</v>
      </c>
      <c r="F676" s="56" t="s">
        <v>2144</v>
      </c>
      <c r="G676" s="56" t="s">
        <v>2237</v>
      </c>
    </row>
    <row r="677" spans="1:7" ht="17.100000000000001">
      <c r="A677" s="75" t="s">
        <v>2537</v>
      </c>
      <c r="B677" s="75"/>
      <c r="C677" s="75"/>
      <c r="D677" s="75"/>
      <c r="E677" s="76"/>
      <c r="F677" s="75"/>
      <c r="G677" s="75"/>
    </row>
    <row r="678" spans="1:7">
      <c r="A678" s="56" t="s">
        <v>2320</v>
      </c>
      <c r="B678" s="56"/>
      <c r="C678" s="56" t="s">
        <v>2254</v>
      </c>
      <c r="D678" s="56" t="s">
        <v>2533</v>
      </c>
      <c r="E678" s="74" t="s">
        <v>2395</v>
      </c>
      <c r="F678" s="56" t="s">
        <v>2144</v>
      </c>
      <c r="G678" s="56" t="s">
        <v>2237</v>
      </c>
    </row>
    <row r="679" spans="1:7" ht="17.100000000000001">
      <c r="A679" s="75" t="s">
        <v>2538</v>
      </c>
      <c r="B679" s="75"/>
      <c r="C679" s="75"/>
      <c r="D679" s="75"/>
      <c r="E679" s="76"/>
      <c r="F679" s="75"/>
      <c r="G679" s="75"/>
    </row>
    <row r="680" spans="1:7">
      <c r="A680" s="56" t="s">
        <v>2403</v>
      </c>
      <c r="B680" s="56" t="s">
        <v>2331</v>
      </c>
      <c r="C680" s="56" t="s">
        <v>2390</v>
      </c>
      <c r="D680" s="56" t="s">
        <v>2533</v>
      </c>
      <c r="E680" s="74" t="s">
        <v>2392</v>
      </c>
      <c r="F680" s="56" t="s">
        <v>2144</v>
      </c>
      <c r="G680" s="56" t="s">
        <v>2404</v>
      </c>
    </row>
    <row r="681" spans="1:7">
      <c r="A681" s="56" t="s">
        <v>2405</v>
      </c>
      <c r="B681" s="56" t="s">
        <v>2406</v>
      </c>
      <c r="C681" s="56" t="s">
        <v>2390</v>
      </c>
      <c r="D681" s="56" t="s">
        <v>2533</v>
      </c>
      <c r="E681" s="74" t="s">
        <v>2392</v>
      </c>
      <c r="F681" s="56" t="s">
        <v>2144</v>
      </c>
      <c r="G681" s="56" t="s">
        <v>2407</v>
      </c>
    </row>
    <row r="682" spans="1:7">
      <c r="A682" s="56" t="s">
        <v>2342</v>
      </c>
      <c r="B682" s="56"/>
      <c r="C682" s="56" t="s">
        <v>2254</v>
      </c>
      <c r="D682" s="56" t="s">
        <v>2533</v>
      </c>
      <c r="E682" s="74" t="s">
        <v>2395</v>
      </c>
      <c r="F682" s="56" t="s">
        <v>2144</v>
      </c>
      <c r="G682" s="56" t="s">
        <v>2237</v>
      </c>
    </row>
    <row r="683" spans="1:7" ht="17.100000000000001">
      <c r="A683" s="75" t="s">
        <v>2539</v>
      </c>
      <c r="B683" s="75"/>
      <c r="C683" s="75"/>
      <c r="D683" s="75"/>
      <c r="E683" s="76"/>
      <c r="F683" s="75"/>
      <c r="G683" s="75"/>
    </row>
    <row r="684" spans="1:7">
      <c r="A684" s="56" t="s">
        <v>2409</v>
      </c>
      <c r="B684" s="56" t="s">
        <v>2236</v>
      </c>
      <c r="C684" s="56" t="s">
        <v>2390</v>
      </c>
      <c r="D684" s="56" t="s">
        <v>2533</v>
      </c>
      <c r="E684" s="74" t="s">
        <v>2392</v>
      </c>
      <c r="F684" s="56" t="s">
        <v>2144</v>
      </c>
      <c r="G684" s="56" t="s">
        <v>2237</v>
      </c>
    </row>
    <row r="685" spans="1:7">
      <c r="A685" s="56" t="s">
        <v>2410</v>
      </c>
      <c r="B685" s="56" t="s">
        <v>2236</v>
      </c>
      <c r="C685" s="56" t="s">
        <v>2411</v>
      </c>
      <c r="D685" s="56" t="s">
        <v>2533</v>
      </c>
      <c r="E685" s="74" t="s">
        <v>2412</v>
      </c>
      <c r="F685" s="56" t="s">
        <v>2144</v>
      </c>
      <c r="G685" s="56" t="s">
        <v>2413</v>
      </c>
    </row>
    <row r="686" spans="1:7" ht="17.100000000000001">
      <c r="A686" s="75" t="s">
        <v>2540</v>
      </c>
      <c r="B686" s="75"/>
      <c r="C686" s="75"/>
      <c r="D686" s="75"/>
      <c r="E686" s="76"/>
      <c r="F686" s="75"/>
      <c r="G686" s="75"/>
    </row>
    <row r="687" spans="1:7">
      <c r="A687" s="56" t="s">
        <v>2361</v>
      </c>
      <c r="B687" s="56" t="s">
        <v>2362</v>
      </c>
      <c r="C687" s="56" t="s">
        <v>2363</v>
      </c>
      <c r="D687" s="56" t="s">
        <v>2533</v>
      </c>
      <c r="E687" s="74" t="s">
        <v>2364</v>
      </c>
      <c r="F687" s="56" t="s">
        <v>2142</v>
      </c>
      <c r="G687" s="56" t="s">
        <v>2365</v>
      </c>
    </row>
    <row r="688" spans="1:7" ht="17.100000000000001">
      <c r="A688" s="75" t="s">
        <v>2541</v>
      </c>
      <c r="B688" s="75"/>
      <c r="C688" s="75"/>
      <c r="D688" s="75"/>
      <c r="E688" s="76"/>
      <c r="F688" s="75"/>
      <c r="G688" s="75"/>
    </row>
    <row r="689" spans="1:7">
      <c r="A689" s="56" t="s">
        <v>2416</v>
      </c>
      <c r="B689" s="56"/>
      <c r="C689" s="56" t="s">
        <v>2390</v>
      </c>
      <c r="D689" s="56" t="s">
        <v>2533</v>
      </c>
      <c r="E689" s="74" t="s">
        <v>2392</v>
      </c>
      <c r="F689" s="56" t="s">
        <v>2144</v>
      </c>
      <c r="G689" s="56" t="s">
        <v>2417</v>
      </c>
    </row>
    <row r="690" spans="1:7">
      <c r="A690" s="56" t="s">
        <v>2418</v>
      </c>
      <c r="B690" s="56" t="s">
        <v>2385</v>
      </c>
      <c r="C690" s="56" t="s">
        <v>2390</v>
      </c>
      <c r="D690" s="56" t="s">
        <v>2533</v>
      </c>
      <c r="E690" s="74" t="s">
        <v>2392</v>
      </c>
      <c r="F690" s="56" t="s">
        <v>2144</v>
      </c>
      <c r="G690" s="56" t="s">
        <v>2419</v>
      </c>
    </row>
    <row r="691" spans="1:7">
      <c r="A691" s="56" t="s">
        <v>2382</v>
      </c>
      <c r="B691" s="56"/>
      <c r="C691" s="56" t="s">
        <v>2254</v>
      </c>
      <c r="D691" s="56" t="s">
        <v>2533</v>
      </c>
      <c r="E691" s="74" t="s">
        <v>2395</v>
      </c>
      <c r="F691" s="56" t="s">
        <v>2144</v>
      </c>
      <c r="G691" s="56" t="s">
        <v>2237</v>
      </c>
    </row>
    <row r="692" spans="1:7" ht="17.100000000000001">
      <c r="A692" s="75" t="s">
        <v>2542</v>
      </c>
      <c r="B692" s="75"/>
      <c r="C692" s="75"/>
      <c r="D692" s="75"/>
      <c r="E692" s="76"/>
      <c r="F692" s="75"/>
      <c r="G692" s="75"/>
    </row>
    <row r="693" spans="1:7">
      <c r="A693" s="56" t="s">
        <v>2230</v>
      </c>
      <c r="B693" s="56" t="s">
        <v>2231</v>
      </c>
      <c r="C693" s="56" t="s">
        <v>1562</v>
      </c>
      <c r="D693" s="56" t="s">
        <v>2543</v>
      </c>
      <c r="E693" s="74" t="s">
        <v>1562</v>
      </c>
      <c r="F693" s="56" t="s">
        <v>2158</v>
      </c>
      <c r="G693" s="56" t="s">
        <v>2233</v>
      </c>
    </row>
    <row r="694" spans="1:7">
      <c r="A694" s="56" t="s">
        <v>2235</v>
      </c>
      <c r="B694" s="56" t="s">
        <v>2236</v>
      </c>
      <c r="C694" s="56" t="s">
        <v>1212</v>
      </c>
      <c r="D694" s="56" t="s">
        <v>2543</v>
      </c>
      <c r="E694" s="74" t="s">
        <v>1212</v>
      </c>
      <c r="F694" s="56" t="s">
        <v>2156</v>
      </c>
      <c r="G694" s="56" t="s">
        <v>2237</v>
      </c>
    </row>
    <row r="695" spans="1:7">
      <c r="A695" s="56" t="s">
        <v>2238</v>
      </c>
      <c r="B695" s="56"/>
      <c r="C695" s="56" t="s">
        <v>2239</v>
      </c>
      <c r="D695" s="56" t="s">
        <v>2543</v>
      </c>
      <c r="E695" s="74" t="s">
        <v>2422</v>
      </c>
      <c r="F695" s="56" t="s">
        <v>2158</v>
      </c>
      <c r="G695" s="56" t="s">
        <v>2237</v>
      </c>
    </row>
    <row r="696" spans="1:7">
      <c r="A696" s="56" t="s">
        <v>2240</v>
      </c>
      <c r="B696" s="56" t="s">
        <v>2241</v>
      </c>
      <c r="C696" s="56" t="s">
        <v>108</v>
      </c>
      <c r="D696" s="56" t="s">
        <v>2543</v>
      </c>
      <c r="E696" s="74" t="s">
        <v>108</v>
      </c>
      <c r="F696" s="56" t="s">
        <v>1961</v>
      </c>
      <c r="G696" s="56" t="s">
        <v>2237</v>
      </c>
    </row>
    <row r="697" spans="1:7">
      <c r="A697" s="56" t="s">
        <v>2242</v>
      </c>
      <c r="B697" s="56" t="s">
        <v>2243</v>
      </c>
      <c r="C697" s="56" t="s">
        <v>108</v>
      </c>
      <c r="D697" s="56" t="s">
        <v>2543</v>
      </c>
      <c r="E697" s="74" t="s">
        <v>108</v>
      </c>
      <c r="F697" s="56" t="s">
        <v>1961</v>
      </c>
      <c r="G697" s="56" t="s">
        <v>2244</v>
      </c>
    </row>
    <row r="698" spans="1:7">
      <c r="A698" s="56" t="s">
        <v>2245</v>
      </c>
      <c r="B698" s="56"/>
      <c r="C698" s="56" t="s">
        <v>108</v>
      </c>
      <c r="D698" s="56" t="s">
        <v>2543</v>
      </c>
      <c r="E698" s="74" t="s">
        <v>108</v>
      </c>
      <c r="F698" s="56" t="s">
        <v>1961</v>
      </c>
      <c r="G698" s="56" t="s">
        <v>2237</v>
      </c>
    </row>
    <row r="699" spans="1:7" ht="17.100000000000001">
      <c r="A699" s="75" t="s">
        <v>2544</v>
      </c>
      <c r="B699" s="75"/>
      <c r="C699" s="75"/>
      <c r="D699" s="75"/>
      <c r="E699" s="76"/>
      <c r="F699" s="75"/>
      <c r="G699" s="75"/>
    </row>
    <row r="700" spans="1:7">
      <c r="A700" s="56" t="s">
        <v>2247</v>
      </c>
      <c r="B700" s="56" t="s">
        <v>2248</v>
      </c>
      <c r="C700" s="56" t="s">
        <v>108</v>
      </c>
      <c r="D700" s="56" t="s">
        <v>2543</v>
      </c>
      <c r="E700" s="74" t="s">
        <v>108</v>
      </c>
      <c r="F700" s="56" t="s">
        <v>1961</v>
      </c>
      <c r="G700" s="56" t="s">
        <v>2237</v>
      </c>
    </row>
    <row r="701" spans="1:7">
      <c r="A701" s="56" t="s">
        <v>2249</v>
      </c>
      <c r="B701" s="56" t="s">
        <v>2250</v>
      </c>
      <c r="C701" s="56" t="s">
        <v>108</v>
      </c>
      <c r="D701" s="56" t="s">
        <v>2543</v>
      </c>
      <c r="E701" s="74" t="s">
        <v>108</v>
      </c>
      <c r="F701" s="56" t="s">
        <v>1961</v>
      </c>
      <c r="G701" s="56" t="s">
        <v>2251</v>
      </c>
    </row>
    <row r="702" spans="1:7">
      <c r="A702" s="56" t="s">
        <v>2252</v>
      </c>
      <c r="B702" s="56" t="s">
        <v>2250</v>
      </c>
      <c r="C702" s="56" t="s">
        <v>108</v>
      </c>
      <c r="D702" s="56" t="s">
        <v>2543</v>
      </c>
      <c r="E702" s="74" t="s">
        <v>108</v>
      </c>
      <c r="F702" s="56" t="s">
        <v>1961</v>
      </c>
      <c r="G702" s="56" t="s">
        <v>2237</v>
      </c>
    </row>
    <row r="703" spans="1:7">
      <c r="A703" s="56" t="s">
        <v>2253</v>
      </c>
      <c r="B703" s="56" t="s">
        <v>2236</v>
      </c>
      <c r="C703" s="56" t="s">
        <v>2254</v>
      </c>
      <c r="D703" s="56" t="s">
        <v>2543</v>
      </c>
      <c r="E703" s="74" t="s">
        <v>2425</v>
      </c>
      <c r="F703" s="56" t="s">
        <v>2153</v>
      </c>
      <c r="G703" s="56" t="s">
        <v>2237</v>
      </c>
    </row>
    <row r="704" spans="1:7">
      <c r="A704" s="56" t="s">
        <v>2256</v>
      </c>
      <c r="B704" s="56" t="s">
        <v>2257</v>
      </c>
      <c r="C704" s="56" t="s">
        <v>108</v>
      </c>
      <c r="D704" s="56" t="s">
        <v>2543</v>
      </c>
      <c r="E704" s="74" t="s">
        <v>108</v>
      </c>
      <c r="F704" s="56" t="s">
        <v>1961</v>
      </c>
      <c r="G704" s="56" t="s">
        <v>2258</v>
      </c>
    </row>
    <row r="705" spans="1:7" ht="17.100000000000001">
      <c r="A705" s="75" t="s">
        <v>2545</v>
      </c>
      <c r="B705" s="75"/>
      <c r="C705" s="75"/>
      <c r="D705" s="75"/>
      <c r="E705" s="76"/>
      <c r="F705" s="75"/>
      <c r="G705" s="75"/>
    </row>
    <row r="706" spans="1:7">
      <c r="A706" s="56" t="s">
        <v>2260</v>
      </c>
      <c r="B706" s="56" t="s">
        <v>2261</v>
      </c>
      <c r="C706" s="56" t="s">
        <v>108</v>
      </c>
      <c r="D706" s="56" t="s">
        <v>2543</v>
      </c>
      <c r="E706" s="74" t="s">
        <v>108</v>
      </c>
      <c r="F706" s="56" t="s">
        <v>1961</v>
      </c>
      <c r="G706" s="56" t="s">
        <v>2237</v>
      </c>
    </row>
    <row r="707" spans="1:7">
      <c r="A707" s="56" t="s">
        <v>2262</v>
      </c>
      <c r="B707" s="56" t="s">
        <v>2261</v>
      </c>
      <c r="C707" s="56" t="s">
        <v>2263</v>
      </c>
      <c r="D707" s="56" t="s">
        <v>2543</v>
      </c>
      <c r="E707" s="74" t="s">
        <v>108</v>
      </c>
      <c r="F707" s="56" t="s">
        <v>1961</v>
      </c>
      <c r="G707" s="56" t="s">
        <v>2237</v>
      </c>
    </row>
    <row r="708" spans="1:7">
      <c r="A708" s="56" t="s">
        <v>2264</v>
      </c>
      <c r="B708" s="56" t="s">
        <v>2261</v>
      </c>
      <c r="C708" s="56" t="s">
        <v>2265</v>
      </c>
      <c r="D708" s="56" t="s">
        <v>2543</v>
      </c>
      <c r="E708" s="74" t="s">
        <v>108</v>
      </c>
      <c r="F708" s="56" t="s">
        <v>1961</v>
      </c>
      <c r="G708" s="56" t="s">
        <v>2266</v>
      </c>
    </row>
    <row r="709" spans="1:7">
      <c r="A709" s="56" t="s">
        <v>2267</v>
      </c>
      <c r="B709" s="56" t="s">
        <v>2261</v>
      </c>
      <c r="C709" s="56" t="s">
        <v>108</v>
      </c>
      <c r="D709" s="56" t="s">
        <v>2543</v>
      </c>
      <c r="E709" s="74" t="s">
        <v>108</v>
      </c>
      <c r="F709" s="56" t="s">
        <v>1961</v>
      </c>
      <c r="G709" s="56" t="s">
        <v>2237</v>
      </c>
    </row>
    <row r="710" spans="1:7" ht="17.100000000000001">
      <c r="A710" s="75" t="s">
        <v>2546</v>
      </c>
      <c r="B710" s="75"/>
      <c r="C710" s="75"/>
      <c r="D710" s="75"/>
      <c r="E710" s="76"/>
      <c r="F710" s="75"/>
      <c r="G710" s="75"/>
    </row>
    <row r="711" spans="1:7">
      <c r="A711" s="56" t="s">
        <v>2269</v>
      </c>
      <c r="B711" s="56" t="s">
        <v>2270</v>
      </c>
      <c r="C711" s="56" t="s">
        <v>2271</v>
      </c>
      <c r="D711" s="56" t="s">
        <v>2543</v>
      </c>
      <c r="E711" s="74" t="s">
        <v>108</v>
      </c>
      <c r="F711" s="56" t="s">
        <v>1961</v>
      </c>
      <c r="G711" s="56" t="s">
        <v>2237</v>
      </c>
    </row>
    <row r="712" spans="1:7">
      <c r="A712" s="56" t="s">
        <v>2428</v>
      </c>
      <c r="B712" s="56"/>
      <c r="C712" s="56" t="s">
        <v>549</v>
      </c>
      <c r="D712" s="56" t="s">
        <v>2543</v>
      </c>
      <c r="E712" s="74" t="s">
        <v>549</v>
      </c>
      <c r="F712" s="56" t="s">
        <v>2158</v>
      </c>
      <c r="G712" s="56" t="s">
        <v>2429</v>
      </c>
    </row>
    <row r="713" spans="1:7">
      <c r="A713" s="56" t="s">
        <v>2430</v>
      </c>
      <c r="B713" s="56" t="s">
        <v>2273</v>
      </c>
      <c r="C713" s="56" t="s">
        <v>549</v>
      </c>
      <c r="D713" s="56" t="s">
        <v>2543</v>
      </c>
      <c r="E713" s="74" t="s">
        <v>549</v>
      </c>
      <c r="F713" s="56" t="s">
        <v>2158</v>
      </c>
      <c r="G713" s="56" t="s">
        <v>2431</v>
      </c>
    </row>
    <row r="714" spans="1:7">
      <c r="A714" s="56" t="s">
        <v>2272</v>
      </c>
      <c r="B714" s="56" t="s">
        <v>2273</v>
      </c>
      <c r="C714" s="56" t="s">
        <v>108</v>
      </c>
      <c r="D714" s="56" t="s">
        <v>2543</v>
      </c>
      <c r="E714" s="74" t="s">
        <v>108</v>
      </c>
      <c r="F714" s="56" t="s">
        <v>1961</v>
      </c>
      <c r="G714" s="56" t="s">
        <v>2237</v>
      </c>
    </row>
    <row r="715" spans="1:7">
      <c r="A715" s="56" t="s">
        <v>2274</v>
      </c>
      <c r="B715" s="56" t="s">
        <v>2270</v>
      </c>
      <c r="C715" s="56" t="s">
        <v>2275</v>
      </c>
      <c r="D715" s="56" t="s">
        <v>2543</v>
      </c>
      <c r="E715" s="74" t="s">
        <v>108</v>
      </c>
      <c r="F715" s="56" t="s">
        <v>1961</v>
      </c>
      <c r="G715" s="56" t="s">
        <v>2237</v>
      </c>
    </row>
    <row r="716" spans="1:7">
      <c r="A716" s="56" t="s">
        <v>2276</v>
      </c>
      <c r="B716" s="56" t="s">
        <v>2273</v>
      </c>
      <c r="C716" s="56" t="s">
        <v>2277</v>
      </c>
      <c r="D716" s="56" t="s">
        <v>2543</v>
      </c>
      <c r="E716" s="74" t="s">
        <v>1562</v>
      </c>
      <c r="F716" s="56" t="s">
        <v>2158</v>
      </c>
      <c r="G716" s="56" t="s">
        <v>2278</v>
      </c>
    </row>
    <row r="717" spans="1:7">
      <c r="A717" s="56" t="s">
        <v>2279</v>
      </c>
      <c r="B717" s="56" t="s">
        <v>2280</v>
      </c>
      <c r="C717" s="56" t="s">
        <v>108</v>
      </c>
      <c r="D717" s="56" t="s">
        <v>2543</v>
      </c>
      <c r="E717" s="74" t="s">
        <v>108</v>
      </c>
      <c r="F717" s="56" t="s">
        <v>1961</v>
      </c>
      <c r="G717" s="56" t="s">
        <v>2281</v>
      </c>
    </row>
    <row r="718" spans="1:7">
      <c r="A718" s="56" t="s">
        <v>2282</v>
      </c>
      <c r="B718" s="56" t="s">
        <v>2280</v>
      </c>
      <c r="C718" s="56" t="s">
        <v>108</v>
      </c>
      <c r="D718" s="56" t="s">
        <v>2543</v>
      </c>
      <c r="E718" s="74" t="s">
        <v>108</v>
      </c>
      <c r="F718" s="56" t="s">
        <v>1961</v>
      </c>
      <c r="G718" s="56" t="s">
        <v>2237</v>
      </c>
    </row>
    <row r="719" spans="1:7" ht="17.100000000000001">
      <c r="A719" s="75" t="s">
        <v>2547</v>
      </c>
      <c r="B719" s="75"/>
      <c r="C719" s="75"/>
      <c r="D719" s="75"/>
      <c r="E719" s="76"/>
      <c r="F719" s="75"/>
      <c r="G719" s="75"/>
    </row>
    <row r="720" spans="1:7">
      <c r="A720" s="56" t="s">
        <v>2284</v>
      </c>
      <c r="B720" s="56" t="s">
        <v>2285</v>
      </c>
      <c r="C720" s="56" t="s">
        <v>108</v>
      </c>
      <c r="D720" s="56" t="s">
        <v>2543</v>
      </c>
      <c r="E720" s="74" t="s">
        <v>108</v>
      </c>
      <c r="F720" s="56" t="s">
        <v>1961</v>
      </c>
      <c r="G720" s="56" t="s">
        <v>2286</v>
      </c>
    </row>
    <row r="721" spans="1:7">
      <c r="A721" s="56" t="s">
        <v>2287</v>
      </c>
      <c r="B721" s="56" t="s">
        <v>2248</v>
      </c>
      <c r="C721" s="56" t="s">
        <v>2288</v>
      </c>
      <c r="D721" s="56" t="s">
        <v>2543</v>
      </c>
      <c r="E721" s="74" t="s">
        <v>2425</v>
      </c>
      <c r="F721" s="56" t="s">
        <v>2153</v>
      </c>
      <c r="G721" s="56" t="s">
        <v>2237</v>
      </c>
    </row>
    <row r="722" spans="1:7">
      <c r="A722" s="56" t="s">
        <v>2289</v>
      </c>
      <c r="B722" s="56" t="s">
        <v>2248</v>
      </c>
      <c r="C722" s="56" t="s">
        <v>2254</v>
      </c>
      <c r="D722" s="56" t="s">
        <v>2543</v>
      </c>
      <c r="E722" s="74" t="s">
        <v>2425</v>
      </c>
      <c r="F722" s="56" t="s">
        <v>2153</v>
      </c>
      <c r="G722" s="56" t="s">
        <v>2237</v>
      </c>
    </row>
    <row r="723" spans="1:7">
      <c r="A723" s="56" t="s">
        <v>2290</v>
      </c>
      <c r="B723" s="56" t="s">
        <v>2248</v>
      </c>
      <c r="C723" s="56" t="s">
        <v>2254</v>
      </c>
      <c r="D723" s="56" t="s">
        <v>2543</v>
      </c>
      <c r="E723" s="74" t="s">
        <v>2425</v>
      </c>
      <c r="F723" s="56" t="s">
        <v>2153</v>
      </c>
      <c r="G723" s="56" t="s">
        <v>2237</v>
      </c>
    </row>
    <row r="724" spans="1:7">
      <c r="A724" s="56" t="s">
        <v>2291</v>
      </c>
      <c r="B724" s="56" t="s">
        <v>2292</v>
      </c>
      <c r="C724" s="56" t="s">
        <v>2254</v>
      </c>
      <c r="D724" s="56" t="s">
        <v>2543</v>
      </c>
      <c r="E724" s="74" t="s">
        <v>2425</v>
      </c>
      <c r="F724" s="56" t="s">
        <v>2153</v>
      </c>
      <c r="G724" s="56" t="s">
        <v>2237</v>
      </c>
    </row>
    <row r="725" spans="1:7">
      <c r="A725" s="56" t="s">
        <v>2293</v>
      </c>
      <c r="B725" s="56"/>
      <c r="C725" s="56" t="s">
        <v>2254</v>
      </c>
      <c r="D725" s="56" t="s">
        <v>2543</v>
      </c>
      <c r="E725" s="74" t="s">
        <v>2425</v>
      </c>
      <c r="F725" s="56" t="s">
        <v>2153</v>
      </c>
      <c r="G725" s="56" t="s">
        <v>2237</v>
      </c>
    </row>
    <row r="726" spans="1:7">
      <c r="A726" s="56" t="s">
        <v>2294</v>
      </c>
      <c r="B726" s="56"/>
      <c r="C726" s="56" t="s">
        <v>2254</v>
      </c>
      <c r="D726" s="56" t="s">
        <v>2543</v>
      </c>
      <c r="E726" s="74" t="s">
        <v>2425</v>
      </c>
      <c r="F726" s="56" t="s">
        <v>2153</v>
      </c>
      <c r="G726" s="56" t="s">
        <v>2237</v>
      </c>
    </row>
    <row r="727" spans="1:7">
      <c r="A727" s="56" t="s">
        <v>2295</v>
      </c>
      <c r="B727" s="56"/>
      <c r="C727" s="56" t="s">
        <v>2254</v>
      </c>
      <c r="D727" s="56" t="s">
        <v>2543</v>
      </c>
      <c r="E727" s="74" t="s">
        <v>2425</v>
      </c>
      <c r="F727" s="56" t="s">
        <v>2153</v>
      </c>
      <c r="G727" s="56" t="s">
        <v>2237</v>
      </c>
    </row>
    <row r="728" spans="1:7" ht="17.100000000000001">
      <c r="A728" s="75" t="s">
        <v>2548</v>
      </c>
      <c r="B728" s="75"/>
      <c r="C728" s="75"/>
      <c r="D728" s="75"/>
      <c r="E728" s="76"/>
      <c r="F728" s="75"/>
      <c r="G728" s="75"/>
    </row>
    <row r="729" spans="1:7">
      <c r="A729" s="56" t="s">
        <v>2297</v>
      </c>
      <c r="B729" s="56" t="s">
        <v>2298</v>
      </c>
      <c r="C729" s="56" t="s">
        <v>108</v>
      </c>
      <c r="D729" s="56" t="s">
        <v>2543</v>
      </c>
      <c r="E729" s="74" t="s">
        <v>108</v>
      </c>
      <c r="F729" s="56" t="s">
        <v>1961</v>
      </c>
      <c r="G729" s="56" t="s">
        <v>2237</v>
      </c>
    </row>
    <row r="730" spans="1:7">
      <c r="A730" s="56" t="s">
        <v>2299</v>
      </c>
      <c r="B730" s="56" t="s">
        <v>2298</v>
      </c>
      <c r="C730" s="56" t="s">
        <v>2300</v>
      </c>
      <c r="D730" s="56" t="s">
        <v>2543</v>
      </c>
      <c r="E730" s="74" t="s">
        <v>108</v>
      </c>
      <c r="F730" s="56" t="s">
        <v>1961</v>
      </c>
      <c r="G730" s="56" t="s">
        <v>2301</v>
      </c>
    </row>
    <row r="731" spans="1:7">
      <c r="A731" s="56" t="s">
        <v>2302</v>
      </c>
      <c r="B731" s="56"/>
      <c r="C731" s="56" t="s">
        <v>2303</v>
      </c>
      <c r="D731" s="56" t="s">
        <v>2543</v>
      </c>
      <c r="E731" s="74" t="s">
        <v>108</v>
      </c>
      <c r="F731" s="56" t="s">
        <v>1961</v>
      </c>
      <c r="G731" s="56" t="s">
        <v>2237</v>
      </c>
    </row>
    <row r="732" spans="1:7">
      <c r="A732" s="56" t="s">
        <v>2304</v>
      </c>
      <c r="B732" s="56"/>
      <c r="C732" s="56" t="s">
        <v>2254</v>
      </c>
      <c r="D732" s="56" t="s">
        <v>2543</v>
      </c>
      <c r="E732" s="74" t="s">
        <v>2425</v>
      </c>
      <c r="F732" s="56" t="s">
        <v>2153</v>
      </c>
      <c r="G732" s="56" t="s">
        <v>2237</v>
      </c>
    </row>
    <row r="733" spans="1:7">
      <c r="A733" s="56" t="s">
        <v>2305</v>
      </c>
      <c r="B733" s="56"/>
      <c r="C733" s="56" t="s">
        <v>2254</v>
      </c>
      <c r="D733" s="56" t="s">
        <v>2543</v>
      </c>
      <c r="E733" s="74" t="s">
        <v>2425</v>
      </c>
      <c r="F733" s="56" t="s">
        <v>2153</v>
      </c>
      <c r="G733" s="56" t="s">
        <v>2237</v>
      </c>
    </row>
    <row r="734" spans="1:7">
      <c r="A734" s="56" t="s">
        <v>2306</v>
      </c>
      <c r="B734" s="56" t="s">
        <v>2298</v>
      </c>
      <c r="C734" s="56" t="s">
        <v>2307</v>
      </c>
      <c r="D734" s="56" t="s">
        <v>2543</v>
      </c>
      <c r="E734" s="74" t="s">
        <v>2307</v>
      </c>
      <c r="F734" s="56" t="s">
        <v>1961</v>
      </c>
      <c r="G734" s="56" t="s">
        <v>2237</v>
      </c>
    </row>
    <row r="735" spans="1:7">
      <c r="A735" s="56" t="s">
        <v>2308</v>
      </c>
      <c r="B735" s="56" t="s">
        <v>2309</v>
      </c>
      <c r="C735" s="56" t="s">
        <v>108</v>
      </c>
      <c r="D735" s="56" t="s">
        <v>2543</v>
      </c>
      <c r="E735" s="74" t="s">
        <v>108</v>
      </c>
      <c r="F735" s="56" t="s">
        <v>1961</v>
      </c>
      <c r="G735" s="56" t="s">
        <v>2237</v>
      </c>
    </row>
    <row r="736" spans="1:7" ht="17.100000000000001">
      <c r="A736" s="75" t="s">
        <v>2549</v>
      </c>
      <c r="B736" s="75"/>
      <c r="C736" s="75"/>
      <c r="D736" s="75"/>
      <c r="E736" s="76"/>
      <c r="F736" s="75"/>
      <c r="G736" s="75"/>
    </row>
    <row r="737" spans="1:7">
      <c r="A737" s="56" t="s">
        <v>2311</v>
      </c>
      <c r="B737" s="56"/>
      <c r="C737" s="56" t="s">
        <v>2307</v>
      </c>
      <c r="D737" s="56" t="s">
        <v>2543</v>
      </c>
      <c r="E737" s="74" t="s">
        <v>2307</v>
      </c>
      <c r="F737" s="56" t="s">
        <v>1961</v>
      </c>
      <c r="G737" s="56" t="s">
        <v>2237</v>
      </c>
    </row>
    <row r="738" spans="1:7">
      <c r="A738" s="56" t="s">
        <v>2312</v>
      </c>
      <c r="B738" s="56"/>
      <c r="C738" s="56" t="s">
        <v>2313</v>
      </c>
      <c r="D738" s="56" t="s">
        <v>2543</v>
      </c>
      <c r="E738" s="74" t="s">
        <v>2435</v>
      </c>
      <c r="F738" s="56" t="s">
        <v>2158</v>
      </c>
      <c r="G738" s="56" t="s">
        <v>2237</v>
      </c>
    </row>
    <row r="739" spans="1:7">
      <c r="A739" s="56" t="s">
        <v>2314</v>
      </c>
      <c r="B739" s="56" t="s">
        <v>2298</v>
      </c>
      <c r="C739" s="56" t="s">
        <v>108</v>
      </c>
      <c r="D739" s="56" t="s">
        <v>2543</v>
      </c>
      <c r="E739" s="74" t="s">
        <v>108</v>
      </c>
      <c r="F739" s="56" t="s">
        <v>1961</v>
      </c>
      <c r="G739" s="56" t="s">
        <v>2237</v>
      </c>
    </row>
    <row r="740" spans="1:7">
      <c r="A740" s="56" t="s">
        <v>2315</v>
      </c>
      <c r="B740" s="56" t="s">
        <v>2298</v>
      </c>
      <c r="C740" s="56" t="s">
        <v>108</v>
      </c>
      <c r="D740" s="56" t="s">
        <v>2543</v>
      </c>
      <c r="E740" s="74" t="s">
        <v>108</v>
      </c>
      <c r="F740" s="56" t="s">
        <v>1961</v>
      </c>
      <c r="G740" s="56" t="s">
        <v>2237</v>
      </c>
    </row>
    <row r="741" spans="1:7">
      <c r="A741" s="56" t="s">
        <v>2316</v>
      </c>
      <c r="B741" s="56" t="s">
        <v>2292</v>
      </c>
      <c r="C741" s="56" t="s">
        <v>108</v>
      </c>
      <c r="D741" s="56" t="s">
        <v>2543</v>
      </c>
      <c r="E741" s="74" t="s">
        <v>108</v>
      </c>
      <c r="F741" s="56" t="s">
        <v>1961</v>
      </c>
      <c r="G741" s="56" t="s">
        <v>2237</v>
      </c>
    </row>
    <row r="742" spans="1:7">
      <c r="A742" s="56" t="s">
        <v>2317</v>
      </c>
      <c r="B742" s="56" t="s">
        <v>2318</v>
      </c>
      <c r="C742" s="56" t="s">
        <v>2307</v>
      </c>
      <c r="D742" s="56" t="s">
        <v>2543</v>
      </c>
      <c r="E742" s="74" t="s">
        <v>2307</v>
      </c>
      <c r="F742" s="56" t="s">
        <v>1961</v>
      </c>
      <c r="G742" s="56" t="s">
        <v>2237</v>
      </c>
    </row>
    <row r="743" spans="1:7">
      <c r="A743" s="56" t="s">
        <v>2319</v>
      </c>
      <c r="B743" s="56" t="s">
        <v>2318</v>
      </c>
      <c r="C743" s="56" t="s">
        <v>2307</v>
      </c>
      <c r="D743" s="56" t="s">
        <v>2543</v>
      </c>
      <c r="E743" s="74" t="s">
        <v>2307</v>
      </c>
      <c r="F743" s="56" t="s">
        <v>1961</v>
      </c>
      <c r="G743" s="56" t="s">
        <v>2237</v>
      </c>
    </row>
    <row r="744" spans="1:7">
      <c r="A744" s="56" t="s">
        <v>2320</v>
      </c>
      <c r="B744" s="56"/>
      <c r="C744" s="56" t="s">
        <v>2254</v>
      </c>
      <c r="D744" s="56" t="s">
        <v>2543</v>
      </c>
      <c r="E744" s="74" t="s">
        <v>2425</v>
      </c>
      <c r="F744" s="56" t="s">
        <v>2153</v>
      </c>
      <c r="G744" s="56" t="s">
        <v>2237</v>
      </c>
    </row>
    <row r="745" spans="1:7">
      <c r="A745" s="56" t="s">
        <v>2321</v>
      </c>
      <c r="B745" s="56" t="s">
        <v>2318</v>
      </c>
      <c r="C745" s="56" t="s">
        <v>108</v>
      </c>
      <c r="D745" s="56" t="s">
        <v>2543</v>
      </c>
      <c r="E745" s="74" t="s">
        <v>108</v>
      </c>
      <c r="F745" s="56" t="s">
        <v>1961</v>
      </c>
      <c r="G745" s="56" t="s">
        <v>2322</v>
      </c>
    </row>
    <row r="746" spans="1:7" ht="17.100000000000001">
      <c r="A746" s="75" t="s">
        <v>2550</v>
      </c>
      <c r="B746" s="75"/>
      <c r="C746" s="75"/>
      <c r="D746" s="75"/>
      <c r="E746" s="76"/>
      <c r="F746" s="75"/>
      <c r="G746" s="75"/>
    </row>
    <row r="747" spans="1:7">
      <c r="A747" s="56" t="s">
        <v>2324</v>
      </c>
      <c r="B747" s="56" t="s">
        <v>2325</v>
      </c>
      <c r="C747" s="56" t="s">
        <v>108</v>
      </c>
      <c r="D747" s="56" t="s">
        <v>2543</v>
      </c>
      <c r="E747" s="74" t="s">
        <v>108</v>
      </c>
      <c r="F747" s="56" t="s">
        <v>1961</v>
      </c>
      <c r="G747" s="56" t="s">
        <v>2237</v>
      </c>
    </row>
    <row r="748" spans="1:7">
      <c r="A748" s="56" t="s">
        <v>2326</v>
      </c>
      <c r="B748" s="56" t="s">
        <v>2327</v>
      </c>
      <c r="C748" s="56" t="s">
        <v>108</v>
      </c>
      <c r="D748" s="56" t="s">
        <v>2543</v>
      </c>
      <c r="E748" s="74" t="s">
        <v>108</v>
      </c>
      <c r="F748" s="56" t="s">
        <v>1961</v>
      </c>
      <c r="G748" s="56" t="s">
        <v>2237</v>
      </c>
    </row>
    <row r="749" spans="1:7">
      <c r="A749" s="56" t="s">
        <v>2328</v>
      </c>
      <c r="B749" s="56" t="s">
        <v>2327</v>
      </c>
      <c r="C749" s="56" t="s">
        <v>108</v>
      </c>
      <c r="D749" s="56" t="s">
        <v>2543</v>
      </c>
      <c r="E749" s="74" t="s">
        <v>108</v>
      </c>
      <c r="F749" s="56" t="s">
        <v>1961</v>
      </c>
      <c r="G749" s="56" t="s">
        <v>2237</v>
      </c>
    </row>
    <row r="750" spans="1:7" ht="17.100000000000001">
      <c r="A750" s="75" t="s">
        <v>2551</v>
      </c>
      <c r="B750" s="75"/>
      <c r="C750" s="75"/>
      <c r="D750" s="75"/>
      <c r="E750" s="76"/>
      <c r="F750" s="75"/>
      <c r="G750" s="75"/>
    </row>
    <row r="751" spans="1:7">
      <c r="A751" s="56" t="s">
        <v>2438</v>
      </c>
      <c r="B751" s="56" t="s">
        <v>2337</v>
      </c>
      <c r="C751" s="56" t="s">
        <v>549</v>
      </c>
      <c r="D751" s="56" t="s">
        <v>2543</v>
      </c>
      <c r="E751" s="74" t="s">
        <v>549</v>
      </c>
      <c r="F751" s="56" t="s">
        <v>2158</v>
      </c>
      <c r="G751" s="56" t="s">
        <v>2439</v>
      </c>
    </row>
    <row r="752" spans="1:7">
      <c r="A752" s="56" t="s">
        <v>2440</v>
      </c>
      <c r="B752" s="56" t="s">
        <v>2334</v>
      </c>
      <c r="C752" s="56" t="s">
        <v>2441</v>
      </c>
      <c r="D752" s="56" t="s">
        <v>2543</v>
      </c>
      <c r="E752" s="74" t="s">
        <v>549</v>
      </c>
      <c r="F752" s="56" t="s">
        <v>2158</v>
      </c>
      <c r="G752" s="56" t="s">
        <v>2442</v>
      </c>
    </row>
    <row r="753" spans="1:7">
      <c r="A753" s="56" t="s">
        <v>2330</v>
      </c>
      <c r="B753" s="56" t="s">
        <v>2331</v>
      </c>
      <c r="C753" s="56" t="s">
        <v>2307</v>
      </c>
      <c r="D753" s="56" t="s">
        <v>2543</v>
      </c>
      <c r="E753" s="74" t="s">
        <v>2307</v>
      </c>
      <c r="F753" s="56" t="s">
        <v>1961</v>
      </c>
      <c r="G753" s="56" t="s">
        <v>2332</v>
      </c>
    </row>
    <row r="754" spans="1:7">
      <c r="A754" s="56" t="s">
        <v>2333</v>
      </c>
      <c r="B754" s="56" t="s">
        <v>2334</v>
      </c>
      <c r="C754" s="56" t="s">
        <v>108</v>
      </c>
      <c r="D754" s="56" t="s">
        <v>2543</v>
      </c>
      <c r="E754" s="74" t="s">
        <v>108</v>
      </c>
      <c r="F754" s="56" t="s">
        <v>1961</v>
      </c>
      <c r="G754" s="56" t="s">
        <v>2335</v>
      </c>
    </row>
    <row r="755" spans="1:7">
      <c r="A755" s="56" t="s">
        <v>2336</v>
      </c>
      <c r="B755" s="56" t="s">
        <v>2337</v>
      </c>
      <c r="C755" s="56" t="s">
        <v>108</v>
      </c>
      <c r="D755" s="56" t="s">
        <v>2543</v>
      </c>
      <c r="E755" s="74" t="s">
        <v>108</v>
      </c>
      <c r="F755" s="56" t="s">
        <v>1961</v>
      </c>
      <c r="G755" s="56" t="s">
        <v>2338</v>
      </c>
    </row>
    <row r="756" spans="1:7">
      <c r="A756" s="56" t="s">
        <v>2339</v>
      </c>
      <c r="B756" s="56" t="s">
        <v>2340</v>
      </c>
      <c r="C756" s="56" t="s">
        <v>108</v>
      </c>
      <c r="D756" s="56" t="s">
        <v>2543</v>
      </c>
      <c r="E756" s="74" t="s">
        <v>108</v>
      </c>
      <c r="F756" s="56" t="s">
        <v>1961</v>
      </c>
      <c r="G756" s="56" t="s">
        <v>2341</v>
      </c>
    </row>
    <row r="757" spans="1:7">
      <c r="A757" s="56" t="s">
        <v>2342</v>
      </c>
      <c r="B757" s="56"/>
      <c r="C757" s="56" t="s">
        <v>2254</v>
      </c>
      <c r="D757" s="56" t="s">
        <v>2543</v>
      </c>
      <c r="E757" s="74" t="s">
        <v>2425</v>
      </c>
      <c r="F757" s="56" t="s">
        <v>2153</v>
      </c>
      <c r="G757" s="56" t="s">
        <v>2237</v>
      </c>
    </row>
    <row r="758" spans="1:7" ht="17.100000000000001">
      <c r="A758" s="75" t="s">
        <v>2552</v>
      </c>
      <c r="B758" s="75"/>
      <c r="C758" s="75"/>
      <c r="D758" s="75"/>
      <c r="E758" s="76"/>
      <c r="F758" s="75"/>
      <c r="G758" s="75"/>
    </row>
    <row r="759" spans="1:7">
      <c r="A759" s="56" t="s">
        <v>2344</v>
      </c>
      <c r="B759" s="56" t="s">
        <v>2334</v>
      </c>
      <c r="C759" s="56" t="s">
        <v>108</v>
      </c>
      <c r="D759" s="56" t="s">
        <v>2543</v>
      </c>
      <c r="E759" s="74" t="s">
        <v>108</v>
      </c>
      <c r="F759" s="56" t="s">
        <v>1961</v>
      </c>
      <c r="G759" s="56" t="s">
        <v>2345</v>
      </c>
    </row>
    <row r="760" spans="1:7">
      <c r="A760" s="56" t="s">
        <v>2410</v>
      </c>
      <c r="B760" s="56" t="s">
        <v>2236</v>
      </c>
      <c r="C760" s="56" t="s">
        <v>2411</v>
      </c>
      <c r="D760" s="56" t="s">
        <v>2543</v>
      </c>
      <c r="E760" s="74" t="s">
        <v>2444</v>
      </c>
      <c r="F760" s="56" t="s">
        <v>2153</v>
      </c>
      <c r="G760" s="56" t="s">
        <v>2413</v>
      </c>
    </row>
    <row r="761" spans="1:7">
      <c r="A761" s="56" t="s">
        <v>2445</v>
      </c>
      <c r="B761" s="56" t="s">
        <v>2236</v>
      </c>
      <c r="C761" s="56" t="s">
        <v>549</v>
      </c>
      <c r="D761" s="56" t="s">
        <v>2543</v>
      </c>
      <c r="E761" s="74" t="s">
        <v>549</v>
      </c>
      <c r="F761" s="56" t="s">
        <v>2158</v>
      </c>
      <c r="G761" s="56" t="s">
        <v>2446</v>
      </c>
    </row>
    <row r="762" spans="1:7">
      <c r="A762" s="56" t="s">
        <v>2346</v>
      </c>
      <c r="B762" s="56" t="s">
        <v>2347</v>
      </c>
      <c r="C762" s="56" t="s">
        <v>108</v>
      </c>
      <c r="D762" s="56" t="s">
        <v>2543</v>
      </c>
      <c r="E762" s="74" t="s">
        <v>108</v>
      </c>
      <c r="F762" s="56" t="s">
        <v>1961</v>
      </c>
      <c r="G762" s="56" t="s">
        <v>2348</v>
      </c>
    </row>
    <row r="763" spans="1:7">
      <c r="A763" s="56" t="s">
        <v>2349</v>
      </c>
      <c r="B763" s="56" t="s">
        <v>2350</v>
      </c>
      <c r="C763" s="56" t="s">
        <v>108</v>
      </c>
      <c r="D763" s="56" t="s">
        <v>2543</v>
      </c>
      <c r="E763" s="74" t="s">
        <v>108</v>
      </c>
      <c r="F763" s="56" t="s">
        <v>1961</v>
      </c>
      <c r="G763" s="56" t="s">
        <v>2351</v>
      </c>
    </row>
    <row r="764" spans="1:7">
      <c r="A764" s="56" t="s">
        <v>2352</v>
      </c>
      <c r="B764" s="56" t="s">
        <v>2353</v>
      </c>
      <c r="C764" s="56" t="s">
        <v>2307</v>
      </c>
      <c r="D764" s="56" t="s">
        <v>2543</v>
      </c>
      <c r="E764" s="74" t="s">
        <v>2307</v>
      </c>
      <c r="F764" s="56" t="s">
        <v>1961</v>
      </c>
      <c r="G764" s="56" t="s">
        <v>2237</v>
      </c>
    </row>
    <row r="765" spans="1:7">
      <c r="A765" s="56" t="s">
        <v>2354</v>
      </c>
      <c r="B765" s="56" t="s">
        <v>2353</v>
      </c>
      <c r="C765" s="56" t="s">
        <v>2355</v>
      </c>
      <c r="D765" s="56" t="s">
        <v>2543</v>
      </c>
      <c r="E765" s="74" t="s">
        <v>108</v>
      </c>
      <c r="F765" s="56" t="s">
        <v>1961</v>
      </c>
      <c r="G765" s="56" t="s">
        <v>2237</v>
      </c>
    </row>
    <row r="766" spans="1:7">
      <c r="A766" s="56" t="s">
        <v>2447</v>
      </c>
      <c r="B766" s="56" t="s">
        <v>2236</v>
      </c>
      <c r="C766" s="56" t="s">
        <v>549</v>
      </c>
      <c r="D766" s="56" t="s">
        <v>2543</v>
      </c>
      <c r="E766" s="74" t="s">
        <v>549</v>
      </c>
      <c r="F766" s="56" t="s">
        <v>2158</v>
      </c>
      <c r="G766" s="56" t="s">
        <v>2448</v>
      </c>
    </row>
    <row r="767" spans="1:7" ht="17.100000000000001">
      <c r="A767" s="75" t="s">
        <v>2553</v>
      </c>
      <c r="B767" s="75"/>
      <c r="C767" s="75"/>
      <c r="D767" s="75"/>
      <c r="E767" s="76"/>
      <c r="F767" s="75"/>
      <c r="G767" s="75"/>
    </row>
    <row r="768" spans="1:7">
      <c r="A768" s="56" t="s">
        <v>2450</v>
      </c>
      <c r="B768" s="56"/>
      <c r="C768" s="56" t="s">
        <v>549</v>
      </c>
      <c r="D768" s="56" t="s">
        <v>2543</v>
      </c>
      <c r="E768" s="74" t="s">
        <v>549</v>
      </c>
      <c r="F768" s="56" t="s">
        <v>2158</v>
      </c>
      <c r="G768" s="56" t="s">
        <v>2237</v>
      </c>
    </row>
    <row r="769" spans="1:7">
      <c r="A769" s="56" t="s">
        <v>2357</v>
      </c>
      <c r="B769" s="56" t="s">
        <v>2358</v>
      </c>
      <c r="C769" s="56" t="s">
        <v>108</v>
      </c>
      <c r="D769" s="56" t="s">
        <v>2543</v>
      </c>
      <c r="E769" s="74" t="s">
        <v>108</v>
      </c>
      <c r="F769" s="56" t="s">
        <v>1961</v>
      </c>
      <c r="G769" s="56" t="s">
        <v>2237</v>
      </c>
    </row>
    <row r="770" spans="1:7">
      <c r="A770" s="56" t="s">
        <v>2359</v>
      </c>
      <c r="B770" s="56" t="s">
        <v>2358</v>
      </c>
      <c r="C770" s="56" t="s">
        <v>2307</v>
      </c>
      <c r="D770" s="56" t="s">
        <v>2543</v>
      </c>
      <c r="E770" s="74" t="s">
        <v>2307</v>
      </c>
      <c r="F770" s="56" t="s">
        <v>1961</v>
      </c>
      <c r="G770" s="56" t="s">
        <v>2360</v>
      </c>
    </row>
    <row r="771" spans="1:7">
      <c r="A771" s="56" t="s">
        <v>2361</v>
      </c>
      <c r="B771" s="56" t="s">
        <v>2362</v>
      </c>
      <c r="C771" s="56" t="s">
        <v>2363</v>
      </c>
      <c r="D771" s="56" t="s">
        <v>2543</v>
      </c>
      <c r="E771" s="74" t="s">
        <v>2451</v>
      </c>
      <c r="F771" s="56" t="s">
        <v>2156</v>
      </c>
      <c r="G771" s="56" t="s">
        <v>2365</v>
      </c>
    </row>
    <row r="772" spans="1:7">
      <c r="A772" s="56" t="s">
        <v>2366</v>
      </c>
      <c r="B772" s="56" t="s">
        <v>2362</v>
      </c>
      <c r="C772" s="56" t="s">
        <v>2265</v>
      </c>
      <c r="D772" s="56" t="s">
        <v>2543</v>
      </c>
      <c r="E772" s="74" t="s">
        <v>108</v>
      </c>
      <c r="F772" s="56" t="s">
        <v>1961</v>
      </c>
      <c r="G772" s="56" t="s">
        <v>2367</v>
      </c>
    </row>
    <row r="773" spans="1:7">
      <c r="A773" s="56" t="s">
        <v>2368</v>
      </c>
      <c r="B773" s="56" t="s">
        <v>2358</v>
      </c>
      <c r="C773" s="56" t="s">
        <v>2369</v>
      </c>
      <c r="D773" s="56" t="s">
        <v>2543</v>
      </c>
      <c r="E773" s="74" t="s">
        <v>108</v>
      </c>
      <c r="F773" s="56" t="s">
        <v>1961</v>
      </c>
      <c r="G773" s="56" t="s">
        <v>2237</v>
      </c>
    </row>
    <row r="774" spans="1:7">
      <c r="A774" s="56" t="s">
        <v>2370</v>
      </c>
      <c r="B774" s="56" t="s">
        <v>2358</v>
      </c>
      <c r="C774" s="56" t="s">
        <v>2371</v>
      </c>
      <c r="D774" s="56" t="s">
        <v>2543</v>
      </c>
      <c r="E774" s="74" t="s">
        <v>108</v>
      </c>
      <c r="F774" s="56" t="s">
        <v>1961</v>
      </c>
      <c r="G774" s="56" t="s">
        <v>2372</v>
      </c>
    </row>
    <row r="775" spans="1:7" ht="17.100000000000001">
      <c r="A775" s="75" t="s">
        <v>2554</v>
      </c>
      <c r="B775" s="75"/>
      <c r="C775" s="75"/>
      <c r="D775" s="75"/>
      <c r="E775" s="76"/>
      <c r="F775" s="75"/>
      <c r="G775" s="75"/>
    </row>
    <row r="776" spans="1:7">
      <c r="A776" s="56" t="s">
        <v>2374</v>
      </c>
      <c r="B776" s="56" t="s">
        <v>2375</v>
      </c>
      <c r="C776" s="56" t="s">
        <v>2376</v>
      </c>
      <c r="D776" s="56" t="s">
        <v>2543</v>
      </c>
      <c r="E776" s="74" t="s">
        <v>108</v>
      </c>
      <c r="F776" s="56" t="s">
        <v>1961</v>
      </c>
      <c r="G776" s="56" t="s">
        <v>2377</v>
      </c>
    </row>
    <row r="777" spans="1:7">
      <c r="A777" s="56" t="s">
        <v>2378</v>
      </c>
      <c r="B777" s="56" t="s">
        <v>2379</v>
      </c>
      <c r="C777" s="56" t="s">
        <v>2380</v>
      </c>
      <c r="D777" s="56" t="s">
        <v>2543</v>
      </c>
      <c r="E777" s="74" t="s">
        <v>108</v>
      </c>
      <c r="F777" s="56" t="s">
        <v>1961</v>
      </c>
      <c r="G777" s="56" t="s">
        <v>2381</v>
      </c>
    </row>
    <row r="778" spans="1:7">
      <c r="A778" s="56" t="s">
        <v>2382</v>
      </c>
      <c r="B778" s="56"/>
      <c r="C778" s="56" t="s">
        <v>2254</v>
      </c>
      <c r="D778" s="56" t="s">
        <v>2543</v>
      </c>
      <c r="E778" s="74" t="s">
        <v>2425</v>
      </c>
      <c r="F778" s="56" t="s">
        <v>2153</v>
      </c>
      <c r="G778" s="56" t="s">
        <v>2237</v>
      </c>
    </row>
    <row r="779" spans="1:7">
      <c r="A779" s="56" t="s">
        <v>2383</v>
      </c>
      <c r="B779" s="56"/>
      <c r="C779" s="56" t="s">
        <v>108</v>
      </c>
      <c r="D779" s="56" t="s">
        <v>2543</v>
      </c>
      <c r="E779" s="74" t="s">
        <v>108</v>
      </c>
      <c r="F779" s="56" t="s">
        <v>1961</v>
      </c>
      <c r="G779" s="56" t="s">
        <v>2237</v>
      </c>
    </row>
    <row r="780" spans="1:7">
      <c r="A780" s="56" t="s">
        <v>2384</v>
      </c>
      <c r="B780" s="56" t="s">
        <v>2385</v>
      </c>
      <c r="C780" s="56" t="s">
        <v>2386</v>
      </c>
      <c r="D780" s="56" t="s">
        <v>2543</v>
      </c>
      <c r="E780" s="74" t="s">
        <v>2386</v>
      </c>
      <c r="F780" s="56" t="s">
        <v>1961</v>
      </c>
      <c r="G780" s="56" t="s">
        <v>2387</v>
      </c>
    </row>
    <row r="781" spans="1:7" ht="17.100000000000001">
      <c r="A781" s="75" t="s">
        <v>2555</v>
      </c>
      <c r="B781" s="75"/>
      <c r="C781" s="75"/>
      <c r="D781" s="75"/>
      <c r="E781" s="76"/>
      <c r="F781" s="75"/>
      <c r="G781" s="75"/>
    </row>
    <row r="782" spans="1:7">
      <c r="A782" s="56" t="s">
        <v>2230</v>
      </c>
      <c r="B782" s="56" t="s">
        <v>2231</v>
      </c>
      <c r="C782" s="56" t="s">
        <v>1562</v>
      </c>
      <c r="D782" s="56" t="s">
        <v>2556</v>
      </c>
      <c r="E782" s="74" t="s">
        <v>108</v>
      </c>
      <c r="F782" s="56" t="s">
        <v>1876</v>
      </c>
      <c r="G782" s="56" t="s">
        <v>2233</v>
      </c>
    </row>
    <row r="783" spans="1:7">
      <c r="A783" s="56" t="s">
        <v>2238</v>
      </c>
      <c r="B783" s="56"/>
      <c r="C783" s="56" t="s">
        <v>2239</v>
      </c>
      <c r="D783" s="56" t="s">
        <v>2556</v>
      </c>
      <c r="E783" s="74" t="s">
        <v>108</v>
      </c>
      <c r="F783" s="56" t="s">
        <v>2173</v>
      </c>
      <c r="G783" s="56" t="s">
        <v>2237</v>
      </c>
    </row>
    <row r="784" spans="1:7">
      <c r="A784" s="56" t="s">
        <v>2240</v>
      </c>
      <c r="B784" s="56" t="s">
        <v>2241</v>
      </c>
      <c r="C784" s="56" t="s">
        <v>108</v>
      </c>
      <c r="D784" s="56" t="s">
        <v>2556</v>
      </c>
      <c r="E784" s="74" t="s">
        <v>108</v>
      </c>
      <c r="F784" s="56" t="s">
        <v>1876</v>
      </c>
      <c r="G784" s="56" t="s">
        <v>2237</v>
      </c>
    </row>
    <row r="785" spans="1:7">
      <c r="A785" s="56" t="s">
        <v>2242</v>
      </c>
      <c r="B785" s="56" t="s">
        <v>2243</v>
      </c>
      <c r="C785" s="56" t="s">
        <v>108</v>
      </c>
      <c r="D785" s="56" t="s">
        <v>2556</v>
      </c>
      <c r="E785" s="74" t="s">
        <v>108</v>
      </c>
      <c r="F785" s="56" t="s">
        <v>1876</v>
      </c>
      <c r="G785" s="56" t="s">
        <v>2244</v>
      </c>
    </row>
    <row r="786" spans="1:7">
      <c r="A786" s="56" t="s">
        <v>2245</v>
      </c>
      <c r="B786" s="56"/>
      <c r="C786" s="56" t="s">
        <v>108</v>
      </c>
      <c r="D786" s="56" t="s">
        <v>2556</v>
      </c>
      <c r="E786" s="74" t="s">
        <v>108</v>
      </c>
      <c r="F786" s="56" t="s">
        <v>1876</v>
      </c>
      <c r="G786" s="56" t="s">
        <v>2237</v>
      </c>
    </row>
    <row r="787" spans="1:7" ht="17.100000000000001">
      <c r="A787" s="75" t="s">
        <v>2557</v>
      </c>
      <c r="B787" s="75"/>
      <c r="C787" s="75"/>
      <c r="D787" s="75"/>
      <c r="E787" s="76"/>
      <c r="F787" s="75"/>
      <c r="G787" s="75"/>
    </row>
    <row r="788" spans="1:7">
      <c r="A788" s="56" t="s">
        <v>2247</v>
      </c>
      <c r="B788" s="56" t="s">
        <v>2248</v>
      </c>
      <c r="C788" s="56" t="s">
        <v>108</v>
      </c>
      <c r="D788" s="56" t="s">
        <v>2556</v>
      </c>
      <c r="E788" s="74" t="s">
        <v>108</v>
      </c>
      <c r="F788" s="56" t="s">
        <v>1876</v>
      </c>
      <c r="G788" s="56" t="s">
        <v>2237</v>
      </c>
    </row>
    <row r="789" spans="1:7">
      <c r="A789" s="56" t="s">
        <v>2249</v>
      </c>
      <c r="B789" s="56" t="s">
        <v>2250</v>
      </c>
      <c r="C789" s="56" t="s">
        <v>108</v>
      </c>
      <c r="D789" s="56" t="s">
        <v>2556</v>
      </c>
      <c r="E789" s="74" t="s">
        <v>108</v>
      </c>
      <c r="F789" s="56" t="s">
        <v>1876</v>
      </c>
      <c r="G789" s="56" t="s">
        <v>2251</v>
      </c>
    </row>
    <row r="790" spans="1:7">
      <c r="A790" s="56" t="s">
        <v>2252</v>
      </c>
      <c r="B790" s="56" t="s">
        <v>2250</v>
      </c>
      <c r="C790" s="56" t="s">
        <v>108</v>
      </c>
      <c r="D790" s="56" t="s">
        <v>2556</v>
      </c>
      <c r="E790" s="74" t="s">
        <v>108</v>
      </c>
      <c r="F790" s="56" t="s">
        <v>1876</v>
      </c>
      <c r="G790" s="56" t="s">
        <v>2237</v>
      </c>
    </row>
    <row r="791" spans="1:7">
      <c r="A791" s="56" t="s">
        <v>2253</v>
      </c>
      <c r="B791" s="56" t="s">
        <v>2236</v>
      </c>
      <c r="C791" s="56" t="s">
        <v>2254</v>
      </c>
      <c r="D791" s="56" t="s">
        <v>2556</v>
      </c>
      <c r="E791" s="74" t="s">
        <v>2255</v>
      </c>
      <c r="F791" s="56" t="s">
        <v>1431</v>
      </c>
      <c r="G791" s="56" t="s">
        <v>2237</v>
      </c>
    </row>
    <row r="792" spans="1:7">
      <c r="A792" s="56" t="s">
        <v>2256</v>
      </c>
      <c r="B792" s="56" t="s">
        <v>2257</v>
      </c>
      <c r="C792" s="56" t="s">
        <v>108</v>
      </c>
      <c r="D792" s="56" t="s">
        <v>2556</v>
      </c>
      <c r="E792" s="74" t="s">
        <v>108</v>
      </c>
      <c r="F792" s="56" t="s">
        <v>1876</v>
      </c>
      <c r="G792" s="56" t="s">
        <v>2258</v>
      </c>
    </row>
    <row r="793" spans="1:7" ht="17.100000000000001">
      <c r="A793" s="75" t="s">
        <v>2558</v>
      </c>
      <c r="B793" s="75"/>
      <c r="C793" s="75"/>
      <c r="D793" s="75"/>
      <c r="E793" s="76"/>
      <c r="F793" s="75"/>
      <c r="G793" s="75"/>
    </row>
    <row r="794" spans="1:7">
      <c r="A794" s="56" t="s">
        <v>2260</v>
      </c>
      <c r="B794" s="56" t="s">
        <v>2261</v>
      </c>
      <c r="C794" s="56" t="s">
        <v>108</v>
      </c>
      <c r="D794" s="56" t="s">
        <v>2556</v>
      </c>
      <c r="E794" s="74" t="s">
        <v>108</v>
      </c>
      <c r="F794" s="56" t="s">
        <v>1876</v>
      </c>
      <c r="G794" s="56" t="s">
        <v>2237</v>
      </c>
    </row>
    <row r="795" spans="1:7">
      <c r="A795" s="56" t="s">
        <v>2262</v>
      </c>
      <c r="B795" s="56" t="s">
        <v>2261</v>
      </c>
      <c r="C795" s="56" t="s">
        <v>2263</v>
      </c>
      <c r="D795" s="56" t="s">
        <v>2556</v>
      </c>
      <c r="E795" s="74" t="s">
        <v>108</v>
      </c>
      <c r="F795" s="56" t="s">
        <v>2173</v>
      </c>
      <c r="G795" s="56" t="s">
        <v>2237</v>
      </c>
    </row>
    <row r="796" spans="1:7">
      <c r="A796" s="56" t="s">
        <v>2264</v>
      </c>
      <c r="B796" s="56" t="s">
        <v>2261</v>
      </c>
      <c r="C796" s="56" t="s">
        <v>2265</v>
      </c>
      <c r="D796" s="56" t="s">
        <v>2556</v>
      </c>
      <c r="E796" s="74" t="s">
        <v>108</v>
      </c>
      <c r="F796" s="56" t="s">
        <v>1876</v>
      </c>
      <c r="G796" s="56" t="s">
        <v>2266</v>
      </c>
    </row>
    <row r="797" spans="1:7">
      <c r="A797" s="56" t="s">
        <v>2267</v>
      </c>
      <c r="B797" s="56" t="s">
        <v>2261</v>
      </c>
      <c r="C797" s="56" t="s">
        <v>108</v>
      </c>
      <c r="D797" s="56" t="s">
        <v>2556</v>
      </c>
      <c r="E797" s="74" t="s">
        <v>108</v>
      </c>
      <c r="F797" s="56" t="s">
        <v>1876</v>
      </c>
      <c r="G797" s="56" t="s">
        <v>2237</v>
      </c>
    </row>
    <row r="798" spans="1:7" ht="17.100000000000001">
      <c r="A798" s="75" t="s">
        <v>2559</v>
      </c>
      <c r="B798" s="75"/>
      <c r="C798" s="75"/>
      <c r="D798" s="75"/>
      <c r="E798" s="76"/>
      <c r="F798" s="75"/>
      <c r="G798" s="75"/>
    </row>
    <row r="799" spans="1:7">
      <c r="A799" s="56" t="s">
        <v>2269</v>
      </c>
      <c r="B799" s="56" t="s">
        <v>2270</v>
      </c>
      <c r="C799" s="56" t="s">
        <v>2271</v>
      </c>
      <c r="D799" s="56" t="s">
        <v>2556</v>
      </c>
      <c r="E799" s="74" t="s">
        <v>108</v>
      </c>
      <c r="F799" s="56" t="s">
        <v>1876</v>
      </c>
      <c r="G799" s="56" t="s">
        <v>2237</v>
      </c>
    </row>
    <row r="800" spans="1:7">
      <c r="A800" s="56" t="s">
        <v>2272</v>
      </c>
      <c r="B800" s="56" t="s">
        <v>2273</v>
      </c>
      <c r="C800" s="56" t="s">
        <v>108</v>
      </c>
      <c r="D800" s="56" t="s">
        <v>2556</v>
      </c>
      <c r="E800" s="74" t="s">
        <v>108</v>
      </c>
      <c r="F800" s="56" t="s">
        <v>1876</v>
      </c>
      <c r="G800" s="56" t="s">
        <v>2237</v>
      </c>
    </row>
    <row r="801" spans="1:7">
      <c r="A801" s="56" t="s">
        <v>2274</v>
      </c>
      <c r="B801" s="56" t="s">
        <v>2270</v>
      </c>
      <c r="C801" s="56" t="s">
        <v>2275</v>
      </c>
      <c r="D801" s="56" t="s">
        <v>2556</v>
      </c>
      <c r="E801" s="74" t="s">
        <v>108</v>
      </c>
      <c r="F801" s="56" t="s">
        <v>1876</v>
      </c>
      <c r="G801" s="56" t="s">
        <v>2237</v>
      </c>
    </row>
    <row r="802" spans="1:7">
      <c r="A802" s="56" t="s">
        <v>2276</v>
      </c>
      <c r="B802" s="56" t="s">
        <v>2273</v>
      </c>
      <c r="C802" s="56" t="s">
        <v>2277</v>
      </c>
      <c r="D802" s="56" t="s">
        <v>2556</v>
      </c>
      <c r="E802" s="74" t="s">
        <v>108</v>
      </c>
      <c r="F802" s="56" t="s">
        <v>1876</v>
      </c>
      <c r="G802" s="56" t="s">
        <v>2278</v>
      </c>
    </row>
    <row r="803" spans="1:7">
      <c r="A803" s="56" t="s">
        <v>2279</v>
      </c>
      <c r="B803" s="56" t="s">
        <v>2280</v>
      </c>
      <c r="C803" s="56" t="s">
        <v>108</v>
      </c>
      <c r="D803" s="56" t="s">
        <v>2556</v>
      </c>
      <c r="E803" s="74" t="s">
        <v>108</v>
      </c>
      <c r="F803" s="56" t="s">
        <v>1876</v>
      </c>
      <c r="G803" s="56" t="s">
        <v>2281</v>
      </c>
    </row>
    <row r="804" spans="1:7">
      <c r="A804" s="56" t="s">
        <v>2282</v>
      </c>
      <c r="B804" s="56" t="s">
        <v>2280</v>
      </c>
      <c r="C804" s="56" t="s">
        <v>108</v>
      </c>
      <c r="D804" s="56" t="s">
        <v>2556</v>
      </c>
      <c r="E804" s="74" t="s">
        <v>108</v>
      </c>
      <c r="F804" s="56" t="s">
        <v>1876</v>
      </c>
      <c r="G804" s="56" t="s">
        <v>2237</v>
      </c>
    </row>
    <row r="805" spans="1:7" ht="17.100000000000001">
      <c r="A805" s="75" t="s">
        <v>2560</v>
      </c>
      <c r="B805" s="75"/>
      <c r="C805" s="75"/>
      <c r="D805" s="75"/>
      <c r="E805" s="76"/>
      <c r="F805" s="75"/>
      <c r="G805" s="75"/>
    </row>
    <row r="806" spans="1:7">
      <c r="A806" s="56" t="s">
        <v>2284</v>
      </c>
      <c r="B806" s="56" t="s">
        <v>2285</v>
      </c>
      <c r="C806" s="56" t="s">
        <v>108</v>
      </c>
      <c r="D806" s="56" t="s">
        <v>2556</v>
      </c>
      <c r="E806" s="74" t="s">
        <v>108</v>
      </c>
      <c r="F806" s="56" t="s">
        <v>1876</v>
      </c>
      <c r="G806" s="56" t="s">
        <v>2286</v>
      </c>
    </row>
    <row r="807" spans="1:7">
      <c r="A807" s="56" t="s">
        <v>2287</v>
      </c>
      <c r="B807" s="56" t="s">
        <v>2248</v>
      </c>
      <c r="C807" s="56" t="s">
        <v>2288</v>
      </c>
      <c r="D807" s="56" t="s">
        <v>2556</v>
      </c>
      <c r="E807" s="74" t="s">
        <v>2255</v>
      </c>
      <c r="F807" s="56" t="s">
        <v>1431</v>
      </c>
      <c r="G807" s="56" t="s">
        <v>2237</v>
      </c>
    </row>
    <row r="808" spans="1:7">
      <c r="A808" s="56" t="s">
        <v>2289</v>
      </c>
      <c r="B808" s="56" t="s">
        <v>2248</v>
      </c>
      <c r="C808" s="56" t="s">
        <v>2254</v>
      </c>
      <c r="D808" s="56" t="s">
        <v>2556</v>
      </c>
      <c r="E808" s="74" t="s">
        <v>2255</v>
      </c>
      <c r="F808" s="56" t="s">
        <v>1431</v>
      </c>
      <c r="G808" s="56" t="s">
        <v>2237</v>
      </c>
    </row>
    <row r="809" spans="1:7">
      <c r="A809" s="56" t="s">
        <v>2290</v>
      </c>
      <c r="B809" s="56" t="s">
        <v>2248</v>
      </c>
      <c r="C809" s="56" t="s">
        <v>2254</v>
      </c>
      <c r="D809" s="56" t="s">
        <v>2556</v>
      </c>
      <c r="E809" s="74" t="s">
        <v>2255</v>
      </c>
      <c r="F809" s="56" t="s">
        <v>1431</v>
      </c>
      <c r="G809" s="56" t="s">
        <v>2237</v>
      </c>
    </row>
    <row r="810" spans="1:7">
      <c r="A810" s="56" t="s">
        <v>2291</v>
      </c>
      <c r="B810" s="56" t="s">
        <v>2292</v>
      </c>
      <c r="C810" s="56" t="s">
        <v>2254</v>
      </c>
      <c r="D810" s="56" t="s">
        <v>2556</v>
      </c>
      <c r="E810" s="74" t="s">
        <v>2255</v>
      </c>
      <c r="F810" s="56" t="s">
        <v>1431</v>
      </c>
      <c r="G810" s="56" t="s">
        <v>2237</v>
      </c>
    </row>
    <row r="811" spans="1:7">
      <c r="A811" s="56" t="s">
        <v>2293</v>
      </c>
      <c r="B811" s="56"/>
      <c r="C811" s="56" t="s">
        <v>2254</v>
      </c>
      <c r="D811" s="56" t="s">
        <v>2556</v>
      </c>
      <c r="E811" s="74" t="s">
        <v>2255</v>
      </c>
      <c r="F811" s="56" t="s">
        <v>1431</v>
      </c>
      <c r="G811" s="56" t="s">
        <v>2237</v>
      </c>
    </row>
    <row r="812" spans="1:7">
      <c r="A812" s="56" t="s">
        <v>2294</v>
      </c>
      <c r="B812" s="56"/>
      <c r="C812" s="56" t="s">
        <v>2254</v>
      </c>
      <c r="D812" s="56" t="s">
        <v>2556</v>
      </c>
      <c r="E812" s="74" t="s">
        <v>2255</v>
      </c>
      <c r="F812" s="56" t="s">
        <v>1431</v>
      </c>
      <c r="G812" s="56" t="s">
        <v>2237</v>
      </c>
    </row>
    <row r="813" spans="1:7">
      <c r="A813" s="56" t="s">
        <v>2295</v>
      </c>
      <c r="B813" s="56"/>
      <c r="C813" s="56" t="s">
        <v>2254</v>
      </c>
      <c r="D813" s="56" t="s">
        <v>2556</v>
      </c>
      <c r="E813" s="74" t="s">
        <v>2255</v>
      </c>
      <c r="F813" s="56" t="s">
        <v>1431</v>
      </c>
      <c r="G813" s="56" t="s">
        <v>2237</v>
      </c>
    </row>
    <row r="814" spans="1:7" ht="17.100000000000001">
      <c r="A814" s="75" t="s">
        <v>2561</v>
      </c>
      <c r="B814" s="75"/>
      <c r="C814" s="75"/>
      <c r="D814" s="75"/>
      <c r="E814" s="76"/>
      <c r="F814" s="75"/>
      <c r="G814" s="75"/>
    </row>
    <row r="815" spans="1:7">
      <c r="A815" s="56" t="s">
        <v>2297</v>
      </c>
      <c r="B815" s="56" t="s">
        <v>2298</v>
      </c>
      <c r="C815" s="56" t="s">
        <v>108</v>
      </c>
      <c r="D815" s="56" t="s">
        <v>2556</v>
      </c>
      <c r="E815" s="74" t="s">
        <v>108</v>
      </c>
      <c r="F815" s="56" t="s">
        <v>1876</v>
      </c>
      <c r="G815" s="56" t="s">
        <v>2237</v>
      </c>
    </row>
    <row r="816" spans="1:7">
      <c r="A816" s="56" t="s">
        <v>2299</v>
      </c>
      <c r="B816" s="56" t="s">
        <v>2298</v>
      </c>
      <c r="C816" s="56" t="s">
        <v>2300</v>
      </c>
      <c r="D816" s="56" t="s">
        <v>2556</v>
      </c>
      <c r="E816" s="74" t="s">
        <v>108</v>
      </c>
      <c r="F816" s="56" t="s">
        <v>1876</v>
      </c>
      <c r="G816" s="56" t="s">
        <v>2301</v>
      </c>
    </row>
    <row r="817" spans="1:7">
      <c r="A817" s="56" t="s">
        <v>2302</v>
      </c>
      <c r="B817" s="56"/>
      <c r="C817" s="56" t="s">
        <v>2303</v>
      </c>
      <c r="D817" s="56" t="s">
        <v>2556</v>
      </c>
      <c r="E817" s="74" t="s">
        <v>108</v>
      </c>
      <c r="F817" s="56" t="s">
        <v>1876</v>
      </c>
      <c r="G817" s="56" t="s">
        <v>2237</v>
      </c>
    </row>
    <row r="818" spans="1:7">
      <c r="A818" s="56" t="s">
        <v>2304</v>
      </c>
      <c r="B818" s="56"/>
      <c r="C818" s="56" t="s">
        <v>2254</v>
      </c>
      <c r="D818" s="56" t="s">
        <v>2556</v>
      </c>
      <c r="E818" s="74" t="s">
        <v>2255</v>
      </c>
      <c r="F818" s="56" t="s">
        <v>1431</v>
      </c>
      <c r="G818" s="56" t="s">
        <v>2237</v>
      </c>
    </row>
    <row r="819" spans="1:7">
      <c r="A819" s="56" t="s">
        <v>2305</v>
      </c>
      <c r="B819" s="56"/>
      <c r="C819" s="56" t="s">
        <v>2254</v>
      </c>
      <c r="D819" s="56" t="s">
        <v>2556</v>
      </c>
      <c r="E819" s="74" t="s">
        <v>2255</v>
      </c>
      <c r="F819" s="56" t="s">
        <v>1431</v>
      </c>
      <c r="G819" s="56" t="s">
        <v>2237</v>
      </c>
    </row>
    <row r="820" spans="1:7">
      <c r="A820" s="56" t="s">
        <v>2308</v>
      </c>
      <c r="B820" s="56" t="s">
        <v>2309</v>
      </c>
      <c r="C820" s="56" t="s">
        <v>108</v>
      </c>
      <c r="D820" s="56" t="s">
        <v>2556</v>
      </c>
      <c r="E820" s="74" t="s">
        <v>108</v>
      </c>
      <c r="F820" s="56" t="s">
        <v>1876</v>
      </c>
      <c r="G820" s="56" t="s">
        <v>2237</v>
      </c>
    </row>
    <row r="821" spans="1:7" ht="17.100000000000001">
      <c r="A821" s="75" t="s">
        <v>2562</v>
      </c>
      <c r="B821" s="75"/>
      <c r="C821" s="75"/>
      <c r="D821" s="75"/>
      <c r="E821" s="76"/>
      <c r="F821" s="75"/>
      <c r="G821" s="75"/>
    </row>
    <row r="822" spans="1:7">
      <c r="A822" s="56" t="s">
        <v>2314</v>
      </c>
      <c r="B822" s="56" t="s">
        <v>2298</v>
      </c>
      <c r="C822" s="56" t="s">
        <v>108</v>
      </c>
      <c r="D822" s="56" t="s">
        <v>2556</v>
      </c>
      <c r="E822" s="74" t="s">
        <v>108</v>
      </c>
      <c r="F822" s="56" t="s">
        <v>1876</v>
      </c>
      <c r="G822" s="56" t="s">
        <v>2237</v>
      </c>
    </row>
    <row r="823" spans="1:7">
      <c r="A823" s="56" t="s">
        <v>2315</v>
      </c>
      <c r="B823" s="56" t="s">
        <v>2298</v>
      </c>
      <c r="C823" s="56" t="s">
        <v>108</v>
      </c>
      <c r="D823" s="56" t="s">
        <v>2556</v>
      </c>
      <c r="E823" s="74" t="s">
        <v>108</v>
      </c>
      <c r="F823" s="56" t="s">
        <v>1876</v>
      </c>
      <c r="G823" s="56" t="s">
        <v>2237</v>
      </c>
    </row>
    <row r="824" spans="1:7">
      <c r="A824" s="56" t="s">
        <v>2316</v>
      </c>
      <c r="B824" s="56" t="s">
        <v>2292</v>
      </c>
      <c r="C824" s="56" t="s">
        <v>108</v>
      </c>
      <c r="D824" s="56" t="s">
        <v>2556</v>
      </c>
      <c r="E824" s="74" t="s">
        <v>108</v>
      </c>
      <c r="F824" s="56" t="s">
        <v>1876</v>
      </c>
      <c r="G824" s="56" t="s">
        <v>2237</v>
      </c>
    </row>
    <row r="825" spans="1:7">
      <c r="A825" s="56" t="s">
        <v>2320</v>
      </c>
      <c r="B825" s="56"/>
      <c r="C825" s="56" t="s">
        <v>2254</v>
      </c>
      <c r="D825" s="56" t="s">
        <v>2556</v>
      </c>
      <c r="E825" s="74" t="s">
        <v>2255</v>
      </c>
      <c r="F825" s="56" t="s">
        <v>1431</v>
      </c>
      <c r="G825" s="56" t="s">
        <v>2237</v>
      </c>
    </row>
    <row r="826" spans="1:7">
      <c r="A826" s="56" t="s">
        <v>2321</v>
      </c>
      <c r="B826" s="56" t="s">
        <v>2318</v>
      </c>
      <c r="C826" s="56" t="s">
        <v>108</v>
      </c>
      <c r="D826" s="56" t="s">
        <v>2556</v>
      </c>
      <c r="E826" s="74" t="s">
        <v>108</v>
      </c>
      <c r="F826" s="56" t="s">
        <v>1876</v>
      </c>
      <c r="G826" s="56" t="s">
        <v>2322</v>
      </c>
    </row>
    <row r="827" spans="1:7" ht="17.100000000000001">
      <c r="A827" s="75" t="s">
        <v>2563</v>
      </c>
      <c r="B827" s="75"/>
      <c r="C827" s="75"/>
      <c r="D827" s="75"/>
      <c r="E827" s="76"/>
      <c r="F827" s="75"/>
      <c r="G827" s="75"/>
    </row>
    <row r="828" spans="1:7">
      <c r="A828" s="56" t="s">
        <v>2324</v>
      </c>
      <c r="B828" s="56" t="s">
        <v>2325</v>
      </c>
      <c r="C828" s="56" t="s">
        <v>108</v>
      </c>
      <c r="D828" s="56" t="s">
        <v>2556</v>
      </c>
      <c r="E828" s="74" t="s">
        <v>108</v>
      </c>
      <c r="F828" s="56" t="s">
        <v>1876</v>
      </c>
      <c r="G828" s="56" t="s">
        <v>2237</v>
      </c>
    </row>
    <row r="829" spans="1:7">
      <c r="A829" s="56" t="s">
        <v>2326</v>
      </c>
      <c r="B829" s="56" t="s">
        <v>2327</v>
      </c>
      <c r="C829" s="56" t="s">
        <v>108</v>
      </c>
      <c r="D829" s="56" t="s">
        <v>2556</v>
      </c>
      <c r="E829" s="74" t="s">
        <v>108</v>
      </c>
      <c r="F829" s="56" t="s">
        <v>1876</v>
      </c>
      <c r="G829" s="56" t="s">
        <v>2237</v>
      </c>
    </row>
    <row r="830" spans="1:7">
      <c r="A830" s="56" t="s">
        <v>2328</v>
      </c>
      <c r="B830" s="56" t="s">
        <v>2327</v>
      </c>
      <c r="C830" s="56" t="s">
        <v>108</v>
      </c>
      <c r="D830" s="56" t="s">
        <v>2556</v>
      </c>
      <c r="E830" s="74" t="s">
        <v>108</v>
      </c>
      <c r="F830" s="56" t="s">
        <v>1876</v>
      </c>
      <c r="G830" s="56" t="s">
        <v>2237</v>
      </c>
    </row>
    <row r="831" spans="1:7" ht="17.100000000000001">
      <c r="A831" s="75" t="s">
        <v>2564</v>
      </c>
      <c r="B831" s="75"/>
      <c r="C831" s="75"/>
      <c r="D831" s="75"/>
      <c r="E831" s="76"/>
      <c r="F831" s="75"/>
      <c r="G831" s="75"/>
    </row>
    <row r="832" spans="1:7">
      <c r="A832" s="56" t="s">
        <v>2333</v>
      </c>
      <c r="B832" s="56" t="s">
        <v>2334</v>
      </c>
      <c r="C832" s="56" t="s">
        <v>108</v>
      </c>
      <c r="D832" s="56" t="s">
        <v>2556</v>
      </c>
      <c r="E832" s="74" t="s">
        <v>108</v>
      </c>
      <c r="F832" s="56" t="s">
        <v>1876</v>
      </c>
      <c r="G832" s="56" t="s">
        <v>2335</v>
      </c>
    </row>
    <row r="833" spans="1:7">
      <c r="A833" s="56" t="s">
        <v>2336</v>
      </c>
      <c r="B833" s="56" t="s">
        <v>2337</v>
      </c>
      <c r="C833" s="56" t="s">
        <v>108</v>
      </c>
      <c r="D833" s="56" t="s">
        <v>2556</v>
      </c>
      <c r="E833" s="74" t="s">
        <v>108</v>
      </c>
      <c r="F833" s="56" t="s">
        <v>1876</v>
      </c>
      <c r="G833" s="56" t="s">
        <v>2338</v>
      </c>
    </row>
    <row r="834" spans="1:7">
      <c r="A834" s="56" t="s">
        <v>2339</v>
      </c>
      <c r="B834" s="56" t="s">
        <v>2340</v>
      </c>
      <c r="C834" s="56" t="s">
        <v>108</v>
      </c>
      <c r="D834" s="56" t="s">
        <v>2556</v>
      </c>
      <c r="E834" s="74" t="s">
        <v>108</v>
      </c>
      <c r="F834" s="56" t="s">
        <v>1876</v>
      </c>
      <c r="G834" s="56" t="s">
        <v>2341</v>
      </c>
    </row>
    <row r="835" spans="1:7">
      <c r="A835" s="56" t="s">
        <v>2342</v>
      </c>
      <c r="B835" s="56"/>
      <c r="C835" s="56" t="s">
        <v>2254</v>
      </c>
      <c r="D835" s="56" t="s">
        <v>2556</v>
      </c>
      <c r="E835" s="74" t="s">
        <v>2255</v>
      </c>
      <c r="F835" s="56" t="s">
        <v>1431</v>
      </c>
      <c r="G835" s="56" t="s">
        <v>2237</v>
      </c>
    </row>
    <row r="836" spans="1:7" ht="17.100000000000001">
      <c r="A836" s="75" t="s">
        <v>2565</v>
      </c>
      <c r="B836" s="75"/>
      <c r="C836" s="75"/>
      <c r="D836" s="75"/>
      <c r="E836" s="76"/>
      <c r="F836" s="75"/>
      <c r="G836" s="75"/>
    </row>
    <row r="837" spans="1:7">
      <c r="A837" s="56" t="s">
        <v>2344</v>
      </c>
      <c r="B837" s="56" t="s">
        <v>2334</v>
      </c>
      <c r="C837" s="56" t="s">
        <v>108</v>
      </c>
      <c r="D837" s="56" t="s">
        <v>2556</v>
      </c>
      <c r="E837" s="74" t="s">
        <v>108</v>
      </c>
      <c r="F837" s="56" t="s">
        <v>1876</v>
      </c>
      <c r="G837" s="56" t="s">
        <v>2345</v>
      </c>
    </row>
    <row r="838" spans="1:7">
      <c r="A838" s="56" t="s">
        <v>2346</v>
      </c>
      <c r="B838" s="56" t="s">
        <v>2347</v>
      </c>
      <c r="C838" s="56" t="s">
        <v>108</v>
      </c>
      <c r="D838" s="56" t="s">
        <v>2556</v>
      </c>
      <c r="E838" s="74" t="s">
        <v>108</v>
      </c>
      <c r="F838" s="56" t="s">
        <v>1876</v>
      </c>
      <c r="G838" s="56" t="s">
        <v>2348</v>
      </c>
    </row>
    <row r="839" spans="1:7">
      <c r="A839" s="56" t="s">
        <v>2349</v>
      </c>
      <c r="B839" s="56" t="s">
        <v>2350</v>
      </c>
      <c r="C839" s="56" t="s">
        <v>108</v>
      </c>
      <c r="D839" s="56" t="s">
        <v>2556</v>
      </c>
      <c r="E839" s="74" t="s">
        <v>108</v>
      </c>
      <c r="F839" s="56" t="s">
        <v>1876</v>
      </c>
      <c r="G839" s="56" t="s">
        <v>2351</v>
      </c>
    </row>
    <row r="840" spans="1:7">
      <c r="A840" s="56" t="s">
        <v>2354</v>
      </c>
      <c r="B840" s="56" t="s">
        <v>2353</v>
      </c>
      <c r="C840" s="56" t="s">
        <v>2355</v>
      </c>
      <c r="D840" s="56" t="s">
        <v>2556</v>
      </c>
      <c r="E840" s="74" t="s">
        <v>108</v>
      </c>
      <c r="F840" s="56" t="s">
        <v>1876</v>
      </c>
      <c r="G840" s="56" t="s">
        <v>2237</v>
      </c>
    </row>
    <row r="841" spans="1:7" ht="17.100000000000001">
      <c r="A841" s="75" t="s">
        <v>2566</v>
      </c>
      <c r="B841" s="75"/>
      <c r="C841" s="75"/>
      <c r="D841" s="75"/>
      <c r="E841" s="76"/>
      <c r="F841" s="75"/>
      <c r="G841" s="75"/>
    </row>
    <row r="842" spans="1:7">
      <c r="A842" s="56" t="s">
        <v>2357</v>
      </c>
      <c r="B842" s="56" t="s">
        <v>2358</v>
      </c>
      <c r="C842" s="56" t="s">
        <v>108</v>
      </c>
      <c r="D842" s="56" t="s">
        <v>2556</v>
      </c>
      <c r="E842" s="74" t="s">
        <v>108</v>
      </c>
      <c r="F842" s="56" t="s">
        <v>1876</v>
      </c>
      <c r="G842" s="56" t="s">
        <v>2237</v>
      </c>
    </row>
    <row r="843" spans="1:7">
      <c r="A843" s="56" t="s">
        <v>2366</v>
      </c>
      <c r="B843" s="56" t="s">
        <v>2362</v>
      </c>
      <c r="C843" s="56" t="s">
        <v>2265</v>
      </c>
      <c r="D843" s="56" t="s">
        <v>2556</v>
      </c>
      <c r="E843" s="74" t="s">
        <v>108</v>
      </c>
      <c r="F843" s="56" t="s">
        <v>1876</v>
      </c>
      <c r="G843" s="56" t="s">
        <v>2367</v>
      </c>
    </row>
    <row r="844" spans="1:7">
      <c r="A844" s="56" t="s">
        <v>2368</v>
      </c>
      <c r="B844" s="56" t="s">
        <v>2358</v>
      </c>
      <c r="C844" s="56" t="s">
        <v>2369</v>
      </c>
      <c r="D844" s="56" t="s">
        <v>2556</v>
      </c>
      <c r="E844" s="74" t="s">
        <v>108</v>
      </c>
      <c r="F844" s="56" t="s">
        <v>1876</v>
      </c>
      <c r="G844" s="56" t="s">
        <v>2237</v>
      </c>
    </row>
    <row r="845" spans="1:7">
      <c r="A845" s="56" t="s">
        <v>2370</v>
      </c>
      <c r="B845" s="56" t="s">
        <v>2358</v>
      </c>
      <c r="C845" s="56" t="s">
        <v>2371</v>
      </c>
      <c r="D845" s="56" t="s">
        <v>2556</v>
      </c>
      <c r="E845" s="74" t="s">
        <v>108</v>
      </c>
      <c r="F845" s="56" t="s">
        <v>1876</v>
      </c>
      <c r="G845" s="56" t="s">
        <v>2372</v>
      </c>
    </row>
    <row r="846" spans="1:7" ht="17.100000000000001">
      <c r="A846" s="75" t="s">
        <v>2567</v>
      </c>
      <c r="B846" s="75"/>
      <c r="C846" s="75"/>
      <c r="D846" s="75"/>
      <c r="E846" s="76"/>
      <c r="F846" s="75"/>
      <c r="G846" s="75"/>
    </row>
    <row r="847" spans="1:7">
      <c r="A847" s="56" t="s">
        <v>2374</v>
      </c>
      <c r="B847" s="56" t="s">
        <v>2375</v>
      </c>
      <c r="C847" s="56" t="s">
        <v>2376</v>
      </c>
      <c r="D847" s="56" t="s">
        <v>2556</v>
      </c>
      <c r="E847" s="74" t="s">
        <v>108</v>
      </c>
      <c r="F847" s="56" t="s">
        <v>1876</v>
      </c>
      <c r="G847" s="56" t="s">
        <v>2377</v>
      </c>
    </row>
    <row r="848" spans="1:7">
      <c r="A848" s="56" t="s">
        <v>2378</v>
      </c>
      <c r="B848" s="56" t="s">
        <v>2379</v>
      </c>
      <c r="C848" s="56" t="s">
        <v>2380</v>
      </c>
      <c r="D848" s="56" t="s">
        <v>2556</v>
      </c>
      <c r="E848" s="74" t="s">
        <v>108</v>
      </c>
      <c r="F848" s="56" t="s">
        <v>1876</v>
      </c>
      <c r="G848" s="56" t="s">
        <v>2381</v>
      </c>
    </row>
    <row r="849" spans="1:7">
      <c r="A849" s="56" t="s">
        <v>2382</v>
      </c>
      <c r="B849" s="56"/>
      <c r="C849" s="56" t="s">
        <v>2254</v>
      </c>
      <c r="D849" s="56" t="s">
        <v>2556</v>
      </c>
      <c r="E849" s="74" t="s">
        <v>2255</v>
      </c>
      <c r="F849" s="56" t="s">
        <v>1431</v>
      </c>
      <c r="G849" s="56" t="s">
        <v>2237</v>
      </c>
    </row>
    <row r="850" spans="1:7">
      <c r="A850" s="56" t="s">
        <v>2383</v>
      </c>
      <c r="B850" s="56"/>
      <c r="C850" s="56" t="s">
        <v>108</v>
      </c>
      <c r="D850" s="56" t="s">
        <v>2556</v>
      </c>
      <c r="E850" s="74" t="s">
        <v>108</v>
      </c>
      <c r="F850" s="56" t="s">
        <v>1876</v>
      </c>
      <c r="G850" s="56" t="s">
        <v>2237</v>
      </c>
    </row>
    <row r="851" spans="1:7">
      <c r="A851" s="56" t="s">
        <v>2384</v>
      </c>
      <c r="B851" s="56" t="s">
        <v>2385</v>
      </c>
      <c r="C851" s="56" t="s">
        <v>2386</v>
      </c>
      <c r="D851" s="56" t="s">
        <v>2556</v>
      </c>
      <c r="E851" s="74" t="s">
        <v>108</v>
      </c>
      <c r="F851" s="56" t="s">
        <v>1876</v>
      </c>
      <c r="G851" s="56" t="s">
        <v>2387</v>
      </c>
    </row>
    <row r="852" spans="1:7" ht="17.100000000000001">
      <c r="A852" s="75" t="s">
        <v>2568</v>
      </c>
      <c r="B852" s="75"/>
      <c r="C852" s="75"/>
      <c r="D852" s="75"/>
      <c r="E852" s="76"/>
      <c r="F852" s="75"/>
      <c r="G852" s="75"/>
    </row>
    <row r="853" spans="1:7">
      <c r="A853" s="56" t="s">
        <v>2230</v>
      </c>
      <c r="B853" s="56" t="s">
        <v>2231</v>
      </c>
      <c r="C853" s="56" t="s">
        <v>1562</v>
      </c>
      <c r="D853" s="56" t="s">
        <v>2569</v>
      </c>
      <c r="E853" s="74" t="s">
        <v>549</v>
      </c>
      <c r="F853" s="56" t="s">
        <v>500</v>
      </c>
      <c r="G853" s="56" t="s">
        <v>2233</v>
      </c>
    </row>
    <row r="854" spans="1:7" ht="17.100000000000001">
      <c r="A854" s="75" t="s">
        <v>2570</v>
      </c>
      <c r="B854" s="75"/>
      <c r="C854" s="75"/>
      <c r="D854" s="75"/>
      <c r="E854" s="76"/>
      <c r="F854" s="75"/>
      <c r="G854" s="75"/>
    </row>
    <row r="855" spans="1:7">
      <c r="A855" s="56" t="s">
        <v>2253</v>
      </c>
      <c r="B855" s="56" t="s">
        <v>2236</v>
      </c>
      <c r="C855" s="56" t="s">
        <v>2254</v>
      </c>
      <c r="D855" s="56" t="s">
        <v>2569</v>
      </c>
      <c r="E855" s="74" t="s">
        <v>2470</v>
      </c>
      <c r="F855" s="56" t="s">
        <v>2187</v>
      </c>
      <c r="G855" s="56" t="s">
        <v>2237</v>
      </c>
    </row>
    <row r="856" spans="1:7" ht="17.100000000000001">
      <c r="A856" s="75" t="s">
        <v>2571</v>
      </c>
      <c r="B856" s="75"/>
      <c r="C856" s="75"/>
      <c r="D856" s="75"/>
      <c r="E856" s="76"/>
      <c r="F856" s="75"/>
      <c r="G856" s="75"/>
    </row>
    <row r="857" spans="1:7">
      <c r="A857" s="56" t="s">
        <v>2428</v>
      </c>
      <c r="B857" s="56"/>
      <c r="C857" s="56" t="s">
        <v>549</v>
      </c>
      <c r="D857" s="56" t="s">
        <v>2569</v>
      </c>
      <c r="E857" s="74" t="s">
        <v>549</v>
      </c>
      <c r="F857" s="56" t="s">
        <v>500</v>
      </c>
      <c r="G857" s="56" t="s">
        <v>2429</v>
      </c>
    </row>
    <row r="858" spans="1:7">
      <c r="A858" s="56" t="s">
        <v>2430</v>
      </c>
      <c r="B858" s="56" t="s">
        <v>2273</v>
      </c>
      <c r="C858" s="56" t="s">
        <v>549</v>
      </c>
      <c r="D858" s="56" t="s">
        <v>2569</v>
      </c>
      <c r="E858" s="74" t="s">
        <v>549</v>
      </c>
      <c r="F858" s="56" t="s">
        <v>500</v>
      </c>
      <c r="G858" s="56" t="s">
        <v>2431</v>
      </c>
    </row>
    <row r="859" spans="1:7">
      <c r="A859" s="56" t="s">
        <v>2276</v>
      </c>
      <c r="B859" s="56" t="s">
        <v>2273</v>
      </c>
      <c r="C859" s="56" t="s">
        <v>2277</v>
      </c>
      <c r="D859" s="56" t="s">
        <v>2569</v>
      </c>
      <c r="E859" s="74" t="s">
        <v>549</v>
      </c>
      <c r="F859" s="56" t="s">
        <v>500</v>
      </c>
      <c r="G859" s="56" t="s">
        <v>2278</v>
      </c>
    </row>
    <row r="860" spans="1:7" ht="17.100000000000001">
      <c r="A860" s="75" t="s">
        <v>2572</v>
      </c>
      <c r="B860" s="75"/>
      <c r="C860" s="75"/>
      <c r="D860" s="75"/>
      <c r="E860" s="76"/>
      <c r="F860" s="75"/>
      <c r="G860" s="75"/>
    </row>
    <row r="861" spans="1:7">
      <c r="A861" s="56" t="s">
        <v>2287</v>
      </c>
      <c r="B861" s="56" t="s">
        <v>2248</v>
      </c>
      <c r="C861" s="56" t="s">
        <v>2288</v>
      </c>
      <c r="D861" s="56" t="s">
        <v>2569</v>
      </c>
      <c r="E861" s="74" t="s">
        <v>2470</v>
      </c>
      <c r="F861" s="56" t="s">
        <v>2187</v>
      </c>
      <c r="G861" s="56" t="s">
        <v>2237</v>
      </c>
    </row>
    <row r="862" spans="1:7">
      <c r="A862" s="56" t="s">
        <v>2289</v>
      </c>
      <c r="B862" s="56" t="s">
        <v>2248</v>
      </c>
      <c r="C862" s="56" t="s">
        <v>2254</v>
      </c>
      <c r="D862" s="56" t="s">
        <v>2569</v>
      </c>
      <c r="E862" s="74" t="s">
        <v>2470</v>
      </c>
      <c r="F862" s="56" t="s">
        <v>2187</v>
      </c>
      <c r="G862" s="56" t="s">
        <v>2237</v>
      </c>
    </row>
    <row r="863" spans="1:7">
      <c r="A863" s="56" t="s">
        <v>2290</v>
      </c>
      <c r="B863" s="56" t="s">
        <v>2248</v>
      </c>
      <c r="C863" s="56" t="s">
        <v>2254</v>
      </c>
      <c r="D863" s="56" t="s">
        <v>2569</v>
      </c>
      <c r="E863" s="74" t="s">
        <v>2470</v>
      </c>
      <c r="F863" s="56" t="s">
        <v>2187</v>
      </c>
      <c r="G863" s="56" t="s">
        <v>2237</v>
      </c>
    </row>
    <row r="864" spans="1:7">
      <c r="A864" s="56" t="s">
        <v>2291</v>
      </c>
      <c r="B864" s="56" t="s">
        <v>2292</v>
      </c>
      <c r="C864" s="56" t="s">
        <v>2254</v>
      </c>
      <c r="D864" s="56" t="s">
        <v>2569</v>
      </c>
      <c r="E864" s="74" t="s">
        <v>2470</v>
      </c>
      <c r="F864" s="56" t="s">
        <v>2187</v>
      </c>
      <c r="G864" s="56" t="s">
        <v>2237</v>
      </c>
    </row>
    <row r="865" spans="1:7">
      <c r="A865" s="56" t="s">
        <v>2293</v>
      </c>
      <c r="B865" s="56"/>
      <c r="C865" s="56" t="s">
        <v>2254</v>
      </c>
      <c r="D865" s="56" t="s">
        <v>2569</v>
      </c>
      <c r="E865" s="74" t="s">
        <v>2470</v>
      </c>
      <c r="F865" s="56" t="s">
        <v>2187</v>
      </c>
      <c r="G865" s="56" t="s">
        <v>2237</v>
      </c>
    </row>
    <row r="866" spans="1:7">
      <c r="A866" s="56" t="s">
        <v>2294</v>
      </c>
      <c r="B866" s="56"/>
      <c r="C866" s="56" t="s">
        <v>2254</v>
      </c>
      <c r="D866" s="56" t="s">
        <v>2569</v>
      </c>
      <c r="E866" s="74" t="s">
        <v>2470</v>
      </c>
      <c r="F866" s="56" t="s">
        <v>2187</v>
      </c>
      <c r="G866" s="56" t="s">
        <v>2237</v>
      </c>
    </row>
    <row r="867" spans="1:7">
      <c r="A867" s="56" t="s">
        <v>2295</v>
      </c>
      <c r="B867" s="56"/>
      <c r="C867" s="56" t="s">
        <v>2254</v>
      </c>
      <c r="D867" s="56" t="s">
        <v>2569</v>
      </c>
      <c r="E867" s="74" t="s">
        <v>2470</v>
      </c>
      <c r="F867" s="56" t="s">
        <v>2187</v>
      </c>
      <c r="G867" s="56" t="s">
        <v>2237</v>
      </c>
    </row>
    <row r="868" spans="1:7" ht="17.100000000000001">
      <c r="A868" s="75" t="s">
        <v>2573</v>
      </c>
      <c r="B868" s="75"/>
      <c r="C868" s="75"/>
      <c r="D868" s="75"/>
      <c r="E868" s="76"/>
      <c r="F868" s="75"/>
      <c r="G868" s="75"/>
    </row>
    <row r="869" spans="1:7">
      <c r="A869" s="56" t="s">
        <v>2304</v>
      </c>
      <c r="B869" s="56"/>
      <c r="C869" s="56" t="s">
        <v>2254</v>
      </c>
      <c r="D869" s="56" t="s">
        <v>2569</v>
      </c>
      <c r="E869" s="74" t="s">
        <v>2470</v>
      </c>
      <c r="F869" s="56" t="s">
        <v>2187</v>
      </c>
      <c r="G869" s="56" t="s">
        <v>2237</v>
      </c>
    </row>
    <row r="870" spans="1:7">
      <c r="A870" s="56" t="s">
        <v>2305</v>
      </c>
      <c r="B870" s="56"/>
      <c r="C870" s="56" t="s">
        <v>2254</v>
      </c>
      <c r="D870" s="56" t="s">
        <v>2569</v>
      </c>
      <c r="E870" s="74" t="s">
        <v>2470</v>
      </c>
      <c r="F870" s="56" t="s">
        <v>2187</v>
      </c>
      <c r="G870" s="56" t="s">
        <v>2237</v>
      </c>
    </row>
    <row r="871" spans="1:7" ht="17.100000000000001">
      <c r="A871" s="75" t="s">
        <v>2574</v>
      </c>
      <c r="B871" s="75"/>
      <c r="C871" s="75"/>
      <c r="D871" s="75"/>
      <c r="E871" s="76"/>
      <c r="F871" s="75"/>
      <c r="G871" s="75"/>
    </row>
    <row r="872" spans="1:7">
      <c r="A872" s="56" t="s">
        <v>2312</v>
      </c>
      <c r="B872" s="56"/>
      <c r="C872" s="56" t="s">
        <v>2313</v>
      </c>
      <c r="D872" s="56" t="s">
        <v>2569</v>
      </c>
      <c r="E872" s="74" t="s">
        <v>549</v>
      </c>
      <c r="F872" s="56" t="s">
        <v>500</v>
      </c>
      <c r="G872" s="56" t="s">
        <v>2237</v>
      </c>
    </row>
    <row r="873" spans="1:7">
      <c r="A873" s="56" t="s">
        <v>2320</v>
      </c>
      <c r="B873" s="56"/>
      <c r="C873" s="56" t="s">
        <v>2254</v>
      </c>
      <c r="D873" s="56" t="s">
        <v>2569</v>
      </c>
      <c r="E873" s="74" t="s">
        <v>2470</v>
      </c>
      <c r="F873" s="56" t="s">
        <v>2187</v>
      </c>
      <c r="G873" s="56" t="s">
        <v>2237</v>
      </c>
    </row>
    <row r="874" spans="1:7" ht="17.100000000000001">
      <c r="A874" s="75" t="s">
        <v>2575</v>
      </c>
      <c r="B874" s="75"/>
      <c r="C874" s="75"/>
      <c r="D874" s="75"/>
      <c r="E874" s="76"/>
      <c r="F874" s="75"/>
      <c r="G874" s="75"/>
    </row>
    <row r="875" spans="1:7">
      <c r="A875" s="56" t="s">
        <v>2438</v>
      </c>
      <c r="B875" s="56" t="s">
        <v>2337</v>
      </c>
      <c r="C875" s="56" t="s">
        <v>549</v>
      </c>
      <c r="D875" s="56" t="s">
        <v>2569</v>
      </c>
      <c r="E875" s="74" t="s">
        <v>549</v>
      </c>
      <c r="F875" s="56" t="s">
        <v>500</v>
      </c>
      <c r="G875" s="56" t="s">
        <v>2439</v>
      </c>
    </row>
    <row r="876" spans="1:7">
      <c r="A876" s="56" t="s">
        <v>2440</v>
      </c>
      <c r="B876" s="56" t="s">
        <v>2334</v>
      </c>
      <c r="C876" s="56" t="s">
        <v>2441</v>
      </c>
      <c r="D876" s="56" t="s">
        <v>2569</v>
      </c>
      <c r="E876" s="74" t="s">
        <v>549</v>
      </c>
      <c r="F876" s="56" t="s">
        <v>2020</v>
      </c>
      <c r="G876" s="56" t="s">
        <v>2442</v>
      </c>
    </row>
    <row r="877" spans="1:7">
      <c r="A877" s="56" t="s">
        <v>2342</v>
      </c>
      <c r="B877" s="56"/>
      <c r="C877" s="56" t="s">
        <v>2254</v>
      </c>
      <c r="D877" s="56" t="s">
        <v>2569</v>
      </c>
      <c r="E877" s="74" t="s">
        <v>2470</v>
      </c>
      <c r="F877" s="56" t="s">
        <v>2187</v>
      </c>
      <c r="G877" s="56" t="s">
        <v>2237</v>
      </c>
    </row>
    <row r="878" spans="1:7" ht="17.100000000000001">
      <c r="A878" s="75" t="s">
        <v>2576</v>
      </c>
      <c r="B878" s="75"/>
      <c r="C878" s="75"/>
      <c r="D878" s="75"/>
      <c r="E878" s="76"/>
      <c r="F878" s="75"/>
      <c r="G878" s="75"/>
    </row>
    <row r="879" spans="1:7">
      <c r="A879" s="56" t="s">
        <v>2410</v>
      </c>
      <c r="B879" s="56" t="s">
        <v>2236</v>
      </c>
      <c r="C879" s="56" t="s">
        <v>2411</v>
      </c>
      <c r="D879" s="56" t="s">
        <v>2569</v>
      </c>
      <c r="E879" s="74" t="s">
        <v>2444</v>
      </c>
      <c r="F879" s="56" t="s">
        <v>2187</v>
      </c>
      <c r="G879" s="56" t="s">
        <v>2413</v>
      </c>
    </row>
    <row r="880" spans="1:7">
      <c r="A880" s="56" t="s">
        <v>2445</v>
      </c>
      <c r="B880" s="56" t="s">
        <v>2236</v>
      </c>
      <c r="C880" s="56" t="s">
        <v>549</v>
      </c>
      <c r="D880" s="56" t="s">
        <v>2569</v>
      </c>
      <c r="E880" s="74" t="s">
        <v>549</v>
      </c>
      <c r="F880" s="56" t="s">
        <v>500</v>
      </c>
      <c r="G880" s="56" t="s">
        <v>2446</v>
      </c>
    </row>
    <row r="881" spans="1:7">
      <c r="A881" s="56" t="s">
        <v>2447</v>
      </c>
      <c r="B881" s="56" t="s">
        <v>2236</v>
      </c>
      <c r="C881" s="56" t="s">
        <v>549</v>
      </c>
      <c r="D881" s="56" t="s">
        <v>2569</v>
      </c>
      <c r="E881" s="74" t="s">
        <v>549</v>
      </c>
      <c r="F881" s="56" t="s">
        <v>500</v>
      </c>
      <c r="G881" s="56" t="s">
        <v>2448</v>
      </c>
    </row>
    <row r="882" spans="1:7" ht="17.100000000000001">
      <c r="A882" s="75" t="s">
        <v>2577</v>
      </c>
      <c r="B882" s="75"/>
      <c r="C882" s="75"/>
      <c r="D882" s="75"/>
      <c r="E882" s="76"/>
      <c r="F882" s="75"/>
      <c r="G882" s="75"/>
    </row>
    <row r="883" spans="1:7">
      <c r="A883" s="56" t="s">
        <v>2450</v>
      </c>
      <c r="B883" s="56"/>
      <c r="C883" s="56" t="s">
        <v>549</v>
      </c>
      <c r="D883" s="56" t="s">
        <v>2569</v>
      </c>
      <c r="E883" s="74" t="s">
        <v>549</v>
      </c>
      <c r="F883" s="56" t="s">
        <v>500</v>
      </c>
      <c r="G883" s="56" t="s">
        <v>2237</v>
      </c>
    </row>
    <row r="884" spans="1:7" ht="17.100000000000001">
      <c r="A884" s="75" t="s">
        <v>2578</v>
      </c>
      <c r="B884" s="75"/>
      <c r="C884" s="75"/>
      <c r="D884" s="75"/>
      <c r="E884" s="76"/>
      <c r="F884" s="75"/>
      <c r="G884" s="75"/>
    </row>
    <row r="885" spans="1:7">
      <c r="A885" s="56" t="s">
        <v>2382</v>
      </c>
      <c r="B885" s="56"/>
      <c r="C885" s="56" t="s">
        <v>2254</v>
      </c>
      <c r="D885" s="56" t="s">
        <v>2569</v>
      </c>
      <c r="E885" s="74" t="s">
        <v>2470</v>
      </c>
      <c r="F885" s="56" t="s">
        <v>2187</v>
      </c>
      <c r="G885" s="56" t="s">
        <v>2237</v>
      </c>
    </row>
    <row r="886" spans="1:7" ht="17.100000000000001">
      <c r="A886" s="75" t="s">
        <v>2579</v>
      </c>
      <c r="B886" s="75"/>
      <c r="C886" s="75"/>
      <c r="D886" s="75"/>
      <c r="E886" s="76"/>
      <c r="F886" s="75"/>
      <c r="G886" s="75"/>
    </row>
    <row r="887" spans="1:7">
      <c r="A887" s="56" t="s">
        <v>2389</v>
      </c>
      <c r="B887" s="56" t="s">
        <v>2241</v>
      </c>
      <c r="C887" s="56" t="s">
        <v>2390</v>
      </c>
      <c r="D887" s="56" t="s">
        <v>2580</v>
      </c>
      <c r="E887" s="74" t="s">
        <v>2392</v>
      </c>
      <c r="F887" s="56" t="s">
        <v>2200</v>
      </c>
      <c r="G887" s="56" t="s">
        <v>2393</v>
      </c>
    </row>
    <row r="888" spans="1:7" ht="17.100000000000001">
      <c r="A888" s="75" t="s">
        <v>2581</v>
      </c>
      <c r="B888" s="75"/>
      <c r="C888" s="75"/>
      <c r="D888" s="75"/>
      <c r="E888" s="76"/>
      <c r="F888" s="75"/>
      <c r="G888" s="75"/>
    </row>
    <row r="889" spans="1:7">
      <c r="A889" s="56" t="s">
        <v>2253</v>
      </c>
      <c r="B889" s="56" t="s">
        <v>2236</v>
      </c>
      <c r="C889" s="56" t="s">
        <v>2254</v>
      </c>
      <c r="D889" s="56" t="s">
        <v>2580</v>
      </c>
      <c r="E889" s="74" t="s">
        <v>2395</v>
      </c>
      <c r="F889" s="56" t="s">
        <v>2200</v>
      </c>
      <c r="G889" s="56" t="s">
        <v>2237</v>
      </c>
    </row>
    <row r="890" spans="1:7" ht="17.100000000000001">
      <c r="A890" s="75" t="s">
        <v>2582</v>
      </c>
      <c r="B890" s="75"/>
      <c r="C890" s="75"/>
      <c r="D890" s="75"/>
      <c r="E890" s="76"/>
      <c r="F890" s="75"/>
      <c r="G890" s="75"/>
    </row>
    <row r="891" spans="1:7">
      <c r="A891" s="56" t="s">
        <v>2287</v>
      </c>
      <c r="B891" s="56" t="s">
        <v>2248</v>
      </c>
      <c r="C891" s="56" t="s">
        <v>2288</v>
      </c>
      <c r="D891" s="56" t="s">
        <v>2580</v>
      </c>
      <c r="E891" s="74" t="s">
        <v>2395</v>
      </c>
      <c r="F891" s="56" t="s">
        <v>2200</v>
      </c>
      <c r="G891" s="56" t="s">
        <v>2237</v>
      </c>
    </row>
    <row r="892" spans="1:7">
      <c r="A892" s="56" t="s">
        <v>2289</v>
      </c>
      <c r="B892" s="56" t="s">
        <v>2248</v>
      </c>
      <c r="C892" s="56" t="s">
        <v>2254</v>
      </c>
      <c r="D892" s="56" t="s">
        <v>2580</v>
      </c>
      <c r="E892" s="74" t="s">
        <v>2395</v>
      </c>
      <c r="F892" s="56" t="s">
        <v>2200</v>
      </c>
      <c r="G892" s="56" t="s">
        <v>2237</v>
      </c>
    </row>
    <row r="893" spans="1:7">
      <c r="A893" s="56" t="s">
        <v>2290</v>
      </c>
      <c r="B893" s="56" t="s">
        <v>2248</v>
      </c>
      <c r="C893" s="56" t="s">
        <v>2254</v>
      </c>
      <c r="D893" s="56" t="s">
        <v>2580</v>
      </c>
      <c r="E893" s="74" t="s">
        <v>2395</v>
      </c>
      <c r="F893" s="56" t="s">
        <v>2200</v>
      </c>
      <c r="G893" s="56" t="s">
        <v>2237</v>
      </c>
    </row>
    <row r="894" spans="1:7">
      <c r="A894" s="56" t="s">
        <v>2291</v>
      </c>
      <c r="B894" s="56" t="s">
        <v>2292</v>
      </c>
      <c r="C894" s="56" t="s">
        <v>2254</v>
      </c>
      <c r="D894" s="56" t="s">
        <v>2580</v>
      </c>
      <c r="E894" s="74" t="s">
        <v>2395</v>
      </c>
      <c r="F894" s="56" t="s">
        <v>2200</v>
      </c>
      <c r="G894" s="56" t="s">
        <v>2237</v>
      </c>
    </row>
    <row r="895" spans="1:7">
      <c r="A895" s="56" t="s">
        <v>2293</v>
      </c>
      <c r="B895" s="56"/>
      <c r="C895" s="56" t="s">
        <v>2254</v>
      </c>
      <c r="D895" s="56" t="s">
        <v>2580</v>
      </c>
      <c r="E895" s="74" t="s">
        <v>2395</v>
      </c>
      <c r="F895" s="56" t="s">
        <v>2200</v>
      </c>
      <c r="G895" s="56" t="s">
        <v>2237</v>
      </c>
    </row>
    <row r="896" spans="1:7">
      <c r="A896" s="56" t="s">
        <v>2294</v>
      </c>
      <c r="B896" s="56"/>
      <c r="C896" s="56" t="s">
        <v>2254</v>
      </c>
      <c r="D896" s="56" t="s">
        <v>2580</v>
      </c>
      <c r="E896" s="74" t="s">
        <v>2395</v>
      </c>
      <c r="F896" s="56" t="s">
        <v>2200</v>
      </c>
      <c r="G896" s="56" t="s">
        <v>2237</v>
      </c>
    </row>
    <row r="897" spans="1:7">
      <c r="A897" s="56" t="s">
        <v>2295</v>
      </c>
      <c r="B897" s="56"/>
      <c r="C897" s="56" t="s">
        <v>2254</v>
      </c>
      <c r="D897" s="56" t="s">
        <v>2580</v>
      </c>
      <c r="E897" s="74" t="s">
        <v>2395</v>
      </c>
      <c r="F897" s="56" t="s">
        <v>2200</v>
      </c>
      <c r="G897" s="56" t="s">
        <v>2237</v>
      </c>
    </row>
    <row r="898" spans="1:7" ht="17.100000000000001">
      <c r="A898" s="75" t="s">
        <v>2583</v>
      </c>
      <c r="B898" s="75"/>
      <c r="C898" s="75"/>
      <c r="D898" s="75"/>
      <c r="E898" s="76"/>
      <c r="F898" s="75"/>
      <c r="G898" s="75"/>
    </row>
    <row r="899" spans="1:7">
      <c r="A899" s="56" t="s">
        <v>2304</v>
      </c>
      <c r="B899" s="56"/>
      <c r="C899" s="56" t="s">
        <v>2254</v>
      </c>
      <c r="D899" s="56" t="s">
        <v>2580</v>
      </c>
      <c r="E899" s="74" t="s">
        <v>2395</v>
      </c>
      <c r="F899" s="56" t="s">
        <v>2200</v>
      </c>
      <c r="G899" s="56" t="s">
        <v>2237</v>
      </c>
    </row>
    <row r="900" spans="1:7">
      <c r="A900" s="56" t="s">
        <v>2305</v>
      </c>
      <c r="B900" s="56"/>
      <c r="C900" s="56" t="s">
        <v>2254</v>
      </c>
      <c r="D900" s="56" t="s">
        <v>2580</v>
      </c>
      <c r="E900" s="74" t="s">
        <v>2395</v>
      </c>
      <c r="F900" s="56" t="s">
        <v>2200</v>
      </c>
      <c r="G900" s="56" t="s">
        <v>2237</v>
      </c>
    </row>
    <row r="901" spans="1:7" ht="17.100000000000001">
      <c r="A901" s="75" t="s">
        <v>2584</v>
      </c>
      <c r="B901" s="75"/>
      <c r="C901" s="75"/>
      <c r="D901" s="75"/>
      <c r="E901" s="76"/>
      <c r="F901" s="75"/>
      <c r="G901" s="75"/>
    </row>
    <row r="902" spans="1:7">
      <c r="A902" s="56" t="s">
        <v>2320</v>
      </c>
      <c r="B902" s="56"/>
      <c r="C902" s="56" t="s">
        <v>2254</v>
      </c>
      <c r="D902" s="56" t="s">
        <v>2580</v>
      </c>
      <c r="E902" s="74" t="s">
        <v>2395</v>
      </c>
      <c r="F902" s="56" t="s">
        <v>2200</v>
      </c>
      <c r="G902" s="56" t="s">
        <v>2237</v>
      </c>
    </row>
    <row r="903" spans="1:7" ht="17.100000000000001">
      <c r="A903" s="75" t="s">
        <v>2585</v>
      </c>
      <c r="B903" s="75"/>
      <c r="C903" s="75"/>
      <c r="D903" s="75"/>
      <c r="E903" s="76"/>
      <c r="F903" s="75"/>
      <c r="G903" s="75"/>
    </row>
    <row r="904" spans="1:7">
      <c r="A904" s="56" t="s">
        <v>2440</v>
      </c>
      <c r="B904" s="56" t="s">
        <v>2334</v>
      </c>
      <c r="C904" s="56" t="s">
        <v>2441</v>
      </c>
      <c r="D904" s="56" t="s">
        <v>2580</v>
      </c>
      <c r="E904" s="74" t="s">
        <v>2586</v>
      </c>
      <c r="F904" s="56" t="s">
        <v>2040</v>
      </c>
      <c r="G904" s="56" t="s">
        <v>2442</v>
      </c>
    </row>
    <row r="905" spans="1:7">
      <c r="A905" s="56" t="s">
        <v>2403</v>
      </c>
      <c r="B905" s="56" t="s">
        <v>2331</v>
      </c>
      <c r="C905" s="56" t="s">
        <v>2390</v>
      </c>
      <c r="D905" s="56" t="s">
        <v>2580</v>
      </c>
      <c r="E905" s="74" t="s">
        <v>2392</v>
      </c>
      <c r="F905" s="56" t="s">
        <v>2200</v>
      </c>
      <c r="G905" s="56" t="s">
        <v>2404</v>
      </c>
    </row>
    <row r="906" spans="1:7">
      <c r="A906" s="56" t="s">
        <v>2405</v>
      </c>
      <c r="B906" s="56" t="s">
        <v>2406</v>
      </c>
      <c r="C906" s="56" t="s">
        <v>2390</v>
      </c>
      <c r="D906" s="56" t="s">
        <v>2580</v>
      </c>
      <c r="E906" s="74" t="s">
        <v>2392</v>
      </c>
      <c r="F906" s="56" t="s">
        <v>2200</v>
      </c>
      <c r="G906" s="56" t="s">
        <v>2407</v>
      </c>
    </row>
    <row r="907" spans="1:7">
      <c r="A907" s="56" t="s">
        <v>2342</v>
      </c>
      <c r="B907" s="56"/>
      <c r="C907" s="56" t="s">
        <v>2254</v>
      </c>
      <c r="D907" s="56" t="s">
        <v>2580</v>
      </c>
      <c r="E907" s="74" t="s">
        <v>2395</v>
      </c>
      <c r="F907" s="56" t="s">
        <v>2200</v>
      </c>
      <c r="G907" s="56" t="s">
        <v>2237</v>
      </c>
    </row>
    <row r="908" spans="1:7" ht="17.100000000000001">
      <c r="A908" s="75" t="s">
        <v>2587</v>
      </c>
      <c r="B908" s="75"/>
      <c r="C908" s="75"/>
      <c r="D908" s="75"/>
      <c r="E908" s="76"/>
      <c r="F908" s="75"/>
      <c r="G908" s="75"/>
    </row>
    <row r="909" spans="1:7">
      <c r="A909" s="56" t="s">
        <v>2409</v>
      </c>
      <c r="B909" s="56" t="s">
        <v>2236</v>
      </c>
      <c r="C909" s="56" t="s">
        <v>2390</v>
      </c>
      <c r="D909" s="56" t="s">
        <v>2580</v>
      </c>
      <c r="E909" s="74" t="s">
        <v>2392</v>
      </c>
      <c r="F909" s="56" t="s">
        <v>2200</v>
      </c>
      <c r="G909" s="56" t="s">
        <v>2237</v>
      </c>
    </row>
    <row r="910" spans="1:7">
      <c r="A910" s="56" t="s">
        <v>2410</v>
      </c>
      <c r="B910" s="56" t="s">
        <v>2236</v>
      </c>
      <c r="C910" s="56" t="s">
        <v>2411</v>
      </c>
      <c r="D910" s="56" t="s">
        <v>2580</v>
      </c>
      <c r="E910" s="74" t="s">
        <v>2412</v>
      </c>
      <c r="F910" s="56" t="s">
        <v>2200</v>
      </c>
      <c r="G910" s="56" t="s">
        <v>2413</v>
      </c>
    </row>
    <row r="911" spans="1:7" ht="17.100000000000001">
      <c r="A911" s="75" t="s">
        <v>2588</v>
      </c>
      <c r="B911" s="75"/>
      <c r="C911" s="75"/>
      <c r="D911" s="75"/>
      <c r="E911" s="76"/>
      <c r="F911" s="75"/>
      <c r="G911" s="75"/>
    </row>
    <row r="912" spans="1:7">
      <c r="A912" s="56" t="s">
        <v>2416</v>
      </c>
      <c r="B912" s="56"/>
      <c r="C912" s="56" t="s">
        <v>2390</v>
      </c>
      <c r="D912" s="56" t="s">
        <v>2580</v>
      </c>
      <c r="E912" s="74" t="s">
        <v>2392</v>
      </c>
      <c r="F912" s="56" t="s">
        <v>2200</v>
      </c>
      <c r="G912" s="56" t="s">
        <v>2417</v>
      </c>
    </row>
    <row r="913" spans="1:7">
      <c r="A913" s="56" t="s">
        <v>2418</v>
      </c>
      <c r="B913" s="56" t="s">
        <v>2385</v>
      </c>
      <c r="C913" s="56" t="s">
        <v>2390</v>
      </c>
      <c r="D913" s="56" t="s">
        <v>2580</v>
      </c>
      <c r="E913" s="74" t="s">
        <v>2392</v>
      </c>
      <c r="F913" s="56" t="s">
        <v>2200</v>
      </c>
      <c r="G913" s="56" t="s">
        <v>2419</v>
      </c>
    </row>
    <row r="914" spans="1:7">
      <c r="A914" s="56" t="s">
        <v>2382</v>
      </c>
      <c r="B914" s="56"/>
      <c r="C914" s="56" t="s">
        <v>2254</v>
      </c>
      <c r="D914" s="56" t="s">
        <v>2580</v>
      </c>
      <c r="E914" s="74" t="s">
        <v>2395</v>
      </c>
      <c r="F914" s="56" t="s">
        <v>2200</v>
      </c>
      <c r="G914" s="56" t="s">
        <v>2237</v>
      </c>
    </row>
    <row r="915" spans="1:7" ht="17.100000000000001">
      <c r="A915" s="75" t="s">
        <v>2589</v>
      </c>
      <c r="B915" s="75"/>
      <c r="C915" s="75"/>
      <c r="D915" s="75"/>
      <c r="E915" s="76"/>
      <c r="F915" s="75"/>
      <c r="G915" s="75"/>
    </row>
    <row r="916" spans="1:7">
      <c r="A916" s="56" t="s">
        <v>2230</v>
      </c>
      <c r="B916" s="56" t="s">
        <v>2231</v>
      </c>
      <c r="C916" s="56" t="s">
        <v>1562</v>
      </c>
      <c r="D916" s="56" t="s">
        <v>2590</v>
      </c>
      <c r="E916" s="74" t="s">
        <v>108</v>
      </c>
      <c r="F916" s="56" t="s">
        <v>2211</v>
      </c>
      <c r="G916" s="56" t="s">
        <v>2233</v>
      </c>
    </row>
    <row r="917" spans="1:7">
      <c r="A917" s="56" t="s">
        <v>2238</v>
      </c>
      <c r="B917" s="56"/>
      <c r="C917" s="56" t="s">
        <v>2239</v>
      </c>
      <c r="D917" s="56" t="s">
        <v>2590</v>
      </c>
      <c r="E917" s="74" t="s">
        <v>108</v>
      </c>
      <c r="F917" s="56" t="s">
        <v>2211</v>
      </c>
      <c r="G917" s="56" t="s">
        <v>2237</v>
      </c>
    </row>
    <row r="918" spans="1:7">
      <c r="A918" s="56" t="s">
        <v>2240</v>
      </c>
      <c r="B918" s="56" t="s">
        <v>2241</v>
      </c>
      <c r="C918" s="56" t="s">
        <v>108</v>
      </c>
      <c r="D918" s="56" t="s">
        <v>2590</v>
      </c>
      <c r="E918" s="74" t="s">
        <v>108</v>
      </c>
      <c r="F918" s="56" t="s">
        <v>2211</v>
      </c>
      <c r="G918" s="56" t="s">
        <v>2237</v>
      </c>
    </row>
    <row r="919" spans="1:7">
      <c r="A919" s="56" t="s">
        <v>2242</v>
      </c>
      <c r="B919" s="56" t="s">
        <v>2243</v>
      </c>
      <c r="C919" s="56" t="s">
        <v>108</v>
      </c>
      <c r="D919" s="56" t="s">
        <v>2590</v>
      </c>
      <c r="E919" s="74" t="s">
        <v>108</v>
      </c>
      <c r="F919" s="56" t="s">
        <v>2211</v>
      </c>
      <c r="G919" s="56" t="s">
        <v>2244</v>
      </c>
    </row>
    <row r="920" spans="1:7">
      <c r="A920" s="56" t="s">
        <v>2245</v>
      </c>
      <c r="B920" s="56"/>
      <c r="C920" s="56" t="s">
        <v>108</v>
      </c>
      <c r="D920" s="56" t="s">
        <v>2590</v>
      </c>
      <c r="E920" s="74" t="s">
        <v>108</v>
      </c>
      <c r="F920" s="56" t="s">
        <v>2211</v>
      </c>
      <c r="G920" s="56" t="s">
        <v>2237</v>
      </c>
    </row>
    <row r="921" spans="1:7" ht="17.100000000000001">
      <c r="A921" s="75" t="s">
        <v>2591</v>
      </c>
      <c r="B921" s="75"/>
      <c r="C921" s="75"/>
      <c r="D921" s="75"/>
      <c r="E921" s="76"/>
      <c r="F921" s="75"/>
      <c r="G921" s="75"/>
    </row>
    <row r="922" spans="1:7">
      <c r="A922" s="56" t="s">
        <v>2247</v>
      </c>
      <c r="B922" s="56" t="s">
        <v>2248</v>
      </c>
      <c r="C922" s="56" t="s">
        <v>108</v>
      </c>
      <c r="D922" s="56" t="s">
        <v>2590</v>
      </c>
      <c r="E922" s="74" t="s">
        <v>108</v>
      </c>
      <c r="F922" s="56" t="s">
        <v>2211</v>
      </c>
      <c r="G922" s="56" t="s">
        <v>2237</v>
      </c>
    </row>
    <row r="923" spans="1:7">
      <c r="A923" s="56" t="s">
        <v>2249</v>
      </c>
      <c r="B923" s="56" t="s">
        <v>2250</v>
      </c>
      <c r="C923" s="56" t="s">
        <v>108</v>
      </c>
      <c r="D923" s="56" t="s">
        <v>2590</v>
      </c>
      <c r="E923" s="74" t="s">
        <v>108</v>
      </c>
      <c r="F923" s="56" t="s">
        <v>2211</v>
      </c>
      <c r="G923" s="56" t="s">
        <v>2251</v>
      </c>
    </row>
    <row r="924" spans="1:7">
      <c r="A924" s="56" t="s">
        <v>2252</v>
      </c>
      <c r="B924" s="56" t="s">
        <v>2250</v>
      </c>
      <c r="C924" s="56" t="s">
        <v>108</v>
      </c>
      <c r="D924" s="56" t="s">
        <v>2590</v>
      </c>
      <c r="E924" s="74" t="s">
        <v>108</v>
      </c>
      <c r="F924" s="56" t="s">
        <v>2211</v>
      </c>
      <c r="G924" s="56" t="s">
        <v>2237</v>
      </c>
    </row>
    <row r="925" spans="1:7">
      <c r="A925" s="56" t="s">
        <v>2256</v>
      </c>
      <c r="B925" s="56" t="s">
        <v>2257</v>
      </c>
      <c r="C925" s="56" t="s">
        <v>108</v>
      </c>
      <c r="D925" s="56" t="s">
        <v>2590</v>
      </c>
      <c r="E925" s="74" t="s">
        <v>108</v>
      </c>
      <c r="F925" s="56" t="s">
        <v>2211</v>
      </c>
      <c r="G925" s="56" t="s">
        <v>2258</v>
      </c>
    </row>
    <row r="926" spans="1:7" ht="17.100000000000001">
      <c r="A926" s="75" t="s">
        <v>2592</v>
      </c>
      <c r="B926" s="75"/>
      <c r="C926" s="75"/>
      <c r="D926" s="75"/>
      <c r="E926" s="76"/>
      <c r="F926" s="75"/>
      <c r="G926" s="75"/>
    </row>
    <row r="927" spans="1:7">
      <c r="A927" s="56" t="s">
        <v>2260</v>
      </c>
      <c r="B927" s="56" t="s">
        <v>2261</v>
      </c>
      <c r="C927" s="56" t="s">
        <v>108</v>
      </c>
      <c r="D927" s="56" t="s">
        <v>2590</v>
      </c>
      <c r="E927" s="74" t="s">
        <v>108</v>
      </c>
      <c r="F927" s="56" t="s">
        <v>2211</v>
      </c>
      <c r="G927" s="56" t="s">
        <v>2237</v>
      </c>
    </row>
    <row r="928" spans="1:7">
      <c r="A928" s="56" t="s">
        <v>2262</v>
      </c>
      <c r="B928" s="56" t="s">
        <v>2261</v>
      </c>
      <c r="C928" s="56" t="s">
        <v>2263</v>
      </c>
      <c r="D928" s="56" t="s">
        <v>2590</v>
      </c>
      <c r="E928" s="74" t="s">
        <v>108</v>
      </c>
      <c r="F928" s="56" t="s">
        <v>2211</v>
      </c>
      <c r="G928" s="56" t="s">
        <v>2237</v>
      </c>
    </row>
    <row r="929" spans="1:7">
      <c r="A929" s="56" t="s">
        <v>2264</v>
      </c>
      <c r="B929" s="56" t="s">
        <v>2261</v>
      </c>
      <c r="C929" s="56" t="s">
        <v>2265</v>
      </c>
      <c r="D929" s="56" t="s">
        <v>2590</v>
      </c>
      <c r="E929" s="74" t="s">
        <v>108</v>
      </c>
      <c r="F929" s="56" t="s">
        <v>2211</v>
      </c>
      <c r="G929" s="56" t="s">
        <v>2266</v>
      </c>
    </row>
    <row r="930" spans="1:7">
      <c r="A930" s="56" t="s">
        <v>2267</v>
      </c>
      <c r="B930" s="56" t="s">
        <v>2261</v>
      </c>
      <c r="C930" s="56" t="s">
        <v>108</v>
      </c>
      <c r="D930" s="56" t="s">
        <v>2590</v>
      </c>
      <c r="E930" s="74" t="s">
        <v>108</v>
      </c>
      <c r="F930" s="56" t="s">
        <v>2211</v>
      </c>
      <c r="G930" s="56" t="s">
        <v>2237</v>
      </c>
    </row>
    <row r="931" spans="1:7" ht="17.100000000000001">
      <c r="A931" s="75" t="s">
        <v>2593</v>
      </c>
      <c r="B931" s="75"/>
      <c r="C931" s="75"/>
      <c r="D931" s="75"/>
      <c r="E931" s="76"/>
      <c r="F931" s="75"/>
      <c r="G931" s="75"/>
    </row>
    <row r="932" spans="1:7">
      <c r="A932" s="56" t="s">
        <v>2269</v>
      </c>
      <c r="B932" s="56" t="s">
        <v>2270</v>
      </c>
      <c r="C932" s="56" t="s">
        <v>2271</v>
      </c>
      <c r="D932" s="56" t="s">
        <v>2590</v>
      </c>
      <c r="E932" s="74" t="s">
        <v>108</v>
      </c>
      <c r="F932" s="56" t="s">
        <v>2211</v>
      </c>
      <c r="G932" s="56" t="s">
        <v>2237</v>
      </c>
    </row>
    <row r="933" spans="1:7">
      <c r="A933" s="56" t="s">
        <v>2272</v>
      </c>
      <c r="B933" s="56" t="s">
        <v>2273</v>
      </c>
      <c r="C933" s="56" t="s">
        <v>108</v>
      </c>
      <c r="D933" s="56" t="s">
        <v>2590</v>
      </c>
      <c r="E933" s="74" t="s">
        <v>108</v>
      </c>
      <c r="F933" s="56" t="s">
        <v>2211</v>
      </c>
      <c r="G933" s="56" t="s">
        <v>2237</v>
      </c>
    </row>
    <row r="934" spans="1:7">
      <c r="A934" s="56" t="s">
        <v>2274</v>
      </c>
      <c r="B934" s="56" t="s">
        <v>2270</v>
      </c>
      <c r="C934" s="56" t="s">
        <v>2275</v>
      </c>
      <c r="D934" s="56" t="s">
        <v>2590</v>
      </c>
      <c r="E934" s="74" t="s">
        <v>108</v>
      </c>
      <c r="F934" s="56" t="s">
        <v>2211</v>
      </c>
      <c r="G934" s="56" t="s">
        <v>2237</v>
      </c>
    </row>
    <row r="935" spans="1:7">
      <c r="A935" s="56" t="s">
        <v>2276</v>
      </c>
      <c r="B935" s="56" t="s">
        <v>2273</v>
      </c>
      <c r="C935" s="56" t="s">
        <v>2277</v>
      </c>
      <c r="D935" s="56" t="s">
        <v>2590</v>
      </c>
      <c r="E935" s="74" t="s">
        <v>108</v>
      </c>
      <c r="F935" s="56" t="s">
        <v>2211</v>
      </c>
      <c r="G935" s="56" t="s">
        <v>2278</v>
      </c>
    </row>
    <row r="936" spans="1:7">
      <c r="A936" s="56" t="s">
        <v>2279</v>
      </c>
      <c r="B936" s="56" t="s">
        <v>2280</v>
      </c>
      <c r="C936" s="56" t="s">
        <v>108</v>
      </c>
      <c r="D936" s="56" t="s">
        <v>2590</v>
      </c>
      <c r="E936" s="74" t="s">
        <v>108</v>
      </c>
      <c r="F936" s="56" t="s">
        <v>2211</v>
      </c>
      <c r="G936" s="56" t="s">
        <v>2281</v>
      </c>
    </row>
    <row r="937" spans="1:7">
      <c r="A937" s="56" t="s">
        <v>2282</v>
      </c>
      <c r="B937" s="56" t="s">
        <v>2280</v>
      </c>
      <c r="C937" s="56" t="s">
        <v>108</v>
      </c>
      <c r="D937" s="56" t="s">
        <v>2590</v>
      </c>
      <c r="E937" s="74" t="s">
        <v>108</v>
      </c>
      <c r="F937" s="56" t="s">
        <v>2211</v>
      </c>
      <c r="G937" s="56" t="s">
        <v>2237</v>
      </c>
    </row>
    <row r="938" spans="1:7" ht="17.100000000000001">
      <c r="A938" s="75" t="s">
        <v>2594</v>
      </c>
      <c r="B938" s="75"/>
      <c r="C938" s="75"/>
      <c r="D938" s="75"/>
      <c r="E938" s="76"/>
      <c r="F938" s="75"/>
      <c r="G938" s="75"/>
    </row>
    <row r="939" spans="1:7">
      <c r="A939" s="56" t="s">
        <v>2284</v>
      </c>
      <c r="B939" s="56" t="s">
        <v>2285</v>
      </c>
      <c r="C939" s="56" t="s">
        <v>108</v>
      </c>
      <c r="D939" s="56" t="s">
        <v>2590</v>
      </c>
      <c r="E939" s="74" t="s">
        <v>108</v>
      </c>
      <c r="F939" s="56" t="s">
        <v>2211</v>
      </c>
      <c r="G939" s="56" t="s">
        <v>2286</v>
      </c>
    </row>
    <row r="940" spans="1:7" ht="17.100000000000001">
      <c r="A940" s="75" t="s">
        <v>2595</v>
      </c>
      <c r="B940" s="75"/>
      <c r="C940" s="75"/>
      <c r="D940" s="75"/>
      <c r="E940" s="76"/>
      <c r="F940" s="75"/>
      <c r="G940" s="75"/>
    </row>
    <row r="941" spans="1:7">
      <c r="A941" s="56" t="s">
        <v>2297</v>
      </c>
      <c r="B941" s="56" t="s">
        <v>2298</v>
      </c>
      <c r="C941" s="56" t="s">
        <v>108</v>
      </c>
      <c r="D941" s="56" t="s">
        <v>2590</v>
      </c>
      <c r="E941" s="74" t="s">
        <v>108</v>
      </c>
      <c r="F941" s="56" t="s">
        <v>2211</v>
      </c>
      <c r="G941" s="56" t="s">
        <v>2237</v>
      </c>
    </row>
    <row r="942" spans="1:7">
      <c r="A942" s="56" t="s">
        <v>2299</v>
      </c>
      <c r="B942" s="56" t="s">
        <v>2298</v>
      </c>
      <c r="C942" s="56" t="s">
        <v>2300</v>
      </c>
      <c r="D942" s="56" t="s">
        <v>2590</v>
      </c>
      <c r="E942" s="74" t="s">
        <v>108</v>
      </c>
      <c r="F942" s="56" t="s">
        <v>2211</v>
      </c>
      <c r="G942" s="56" t="s">
        <v>2301</v>
      </c>
    </row>
    <row r="943" spans="1:7">
      <c r="A943" s="56" t="s">
        <v>2302</v>
      </c>
      <c r="B943" s="56"/>
      <c r="C943" s="56" t="s">
        <v>2303</v>
      </c>
      <c r="D943" s="56" t="s">
        <v>2590</v>
      </c>
      <c r="E943" s="74" t="s">
        <v>108</v>
      </c>
      <c r="F943" s="56" t="s">
        <v>2211</v>
      </c>
      <c r="G943" s="56" t="s">
        <v>2237</v>
      </c>
    </row>
    <row r="944" spans="1:7">
      <c r="A944" s="56" t="s">
        <v>2306</v>
      </c>
      <c r="B944" s="56" t="s">
        <v>2298</v>
      </c>
      <c r="C944" s="56" t="s">
        <v>2307</v>
      </c>
      <c r="D944" s="56" t="s">
        <v>2590</v>
      </c>
      <c r="E944" s="74" t="s">
        <v>2307</v>
      </c>
      <c r="F944" s="56" t="s">
        <v>2211</v>
      </c>
      <c r="G944" s="56" t="s">
        <v>2237</v>
      </c>
    </row>
    <row r="945" spans="1:7">
      <c r="A945" s="56" t="s">
        <v>2308</v>
      </c>
      <c r="B945" s="56" t="s">
        <v>2309</v>
      </c>
      <c r="C945" s="56" t="s">
        <v>108</v>
      </c>
      <c r="D945" s="56" t="s">
        <v>2590</v>
      </c>
      <c r="E945" s="74" t="s">
        <v>108</v>
      </c>
      <c r="F945" s="56" t="s">
        <v>2211</v>
      </c>
      <c r="G945" s="56" t="s">
        <v>2237</v>
      </c>
    </row>
    <row r="946" spans="1:7" ht="17.100000000000001">
      <c r="A946" s="75" t="s">
        <v>2596</v>
      </c>
      <c r="B946" s="75"/>
      <c r="C946" s="75"/>
      <c r="D946" s="75"/>
      <c r="E946" s="76"/>
      <c r="F946" s="75"/>
      <c r="G946" s="75"/>
    </row>
    <row r="947" spans="1:7">
      <c r="A947" s="56" t="s">
        <v>2311</v>
      </c>
      <c r="B947" s="56"/>
      <c r="C947" s="56" t="s">
        <v>2307</v>
      </c>
      <c r="D947" s="56" t="s">
        <v>2590</v>
      </c>
      <c r="E947" s="74" t="s">
        <v>2307</v>
      </c>
      <c r="F947" s="56" t="s">
        <v>2211</v>
      </c>
      <c r="G947" s="56" t="s">
        <v>2237</v>
      </c>
    </row>
    <row r="948" spans="1:7">
      <c r="A948" s="56" t="s">
        <v>2312</v>
      </c>
      <c r="B948" s="56"/>
      <c r="C948" s="56" t="s">
        <v>2313</v>
      </c>
      <c r="D948" s="56" t="s">
        <v>2590</v>
      </c>
      <c r="E948" s="74" t="s">
        <v>2307</v>
      </c>
      <c r="F948" s="56" t="s">
        <v>2211</v>
      </c>
      <c r="G948" s="56" t="s">
        <v>2237</v>
      </c>
    </row>
    <row r="949" spans="1:7">
      <c r="A949" s="56" t="s">
        <v>2314</v>
      </c>
      <c r="B949" s="56" t="s">
        <v>2298</v>
      </c>
      <c r="C949" s="56" t="s">
        <v>108</v>
      </c>
      <c r="D949" s="56" t="s">
        <v>2590</v>
      </c>
      <c r="E949" s="74" t="s">
        <v>108</v>
      </c>
      <c r="F949" s="56" t="s">
        <v>2211</v>
      </c>
      <c r="G949" s="56" t="s">
        <v>2237</v>
      </c>
    </row>
    <row r="950" spans="1:7">
      <c r="A950" s="56" t="s">
        <v>2315</v>
      </c>
      <c r="B950" s="56" t="s">
        <v>2298</v>
      </c>
      <c r="C950" s="56" t="s">
        <v>108</v>
      </c>
      <c r="D950" s="56" t="s">
        <v>2590</v>
      </c>
      <c r="E950" s="74" t="s">
        <v>108</v>
      </c>
      <c r="F950" s="56" t="s">
        <v>2211</v>
      </c>
      <c r="G950" s="56" t="s">
        <v>2237</v>
      </c>
    </row>
    <row r="951" spans="1:7">
      <c r="A951" s="56" t="s">
        <v>2316</v>
      </c>
      <c r="B951" s="56" t="s">
        <v>2292</v>
      </c>
      <c r="C951" s="56" t="s">
        <v>108</v>
      </c>
      <c r="D951" s="56" t="s">
        <v>2590</v>
      </c>
      <c r="E951" s="74" t="s">
        <v>108</v>
      </c>
      <c r="F951" s="56" t="s">
        <v>2211</v>
      </c>
      <c r="G951" s="56" t="s">
        <v>2237</v>
      </c>
    </row>
    <row r="952" spans="1:7">
      <c r="A952" s="56" t="s">
        <v>2317</v>
      </c>
      <c r="B952" s="56" t="s">
        <v>2318</v>
      </c>
      <c r="C952" s="56" t="s">
        <v>2307</v>
      </c>
      <c r="D952" s="56" t="s">
        <v>2590</v>
      </c>
      <c r="E952" s="74" t="s">
        <v>2307</v>
      </c>
      <c r="F952" s="56" t="s">
        <v>2211</v>
      </c>
      <c r="G952" s="56" t="s">
        <v>2237</v>
      </c>
    </row>
    <row r="953" spans="1:7">
      <c r="A953" s="56" t="s">
        <v>2319</v>
      </c>
      <c r="B953" s="56" t="s">
        <v>2318</v>
      </c>
      <c r="C953" s="56" t="s">
        <v>2307</v>
      </c>
      <c r="D953" s="56" t="s">
        <v>2590</v>
      </c>
      <c r="E953" s="74" t="s">
        <v>2307</v>
      </c>
      <c r="F953" s="56" t="s">
        <v>2211</v>
      </c>
      <c r="G953" s="56" t="s">
        <v>2237</v>
      </c>
    </row>
    <row r="954" spans="1:7">
      <c r="A954" s="56" t="s">
        <v>2321</v>
      </c>
      <c r="B954" s="56" t="s">
        <v>2318</v>
      </c>
      <c r="C954" s="56" t="s">
        <v>108</v>
      </c>
      <c r="D954" s="56" t="s">
        <v>2590</v>
      </c>
      <c r="E954" s="74" t="s">
        <v>108</v>
      </c>
      <c r="F954" s="56" t="s">
        <v>2211</v>
      </c>
      <c r="G954" s="56" t="s">
        <v>2322</v>
      </c>
    </row>
    <row r="955" spans="1:7" ht="17.100000000000001">
      <c r="A955" s="75" t="s">
        <v>2597</v>
      </c>
      <c r="B955" s="75"/>
      <c r="C955" s="75"/>
      <c r="D955" s="75"/>
      <c r="E955" s="76"/>
      <c r="F955" s="75"/>
      <c r="G955" s="75"/>
    </row>
    <row r="956" spans="1:7">
      <c r="A956" s="56" t="s">
        <v>2324</v>
      </c>
      <c r="B956" s="56" t="s">
        <v>2325</v>
      </c>
      <c r="C956" s="56" t="s">
        <v>108</v>
      </c>
      <c r="D956" s="56" t="s">
        <v>2590</v>
      </c>
      <c r="E956" s="74" t="s">
        <v>108</v>
      </c>
      <c r="F956" s="56" t="s">
        <v>2211</v>
      </c>
      <c r="G956" s="56" t="s">
        <v>2237</v>
      </c>
    </row>
    <row r="957" spans="1:7">
      <c r="A957" s="56" t="s">
        <v>2326</v>
      </c>
      <c r="B957" s="56" t="s">
        <v>2327</v>
      </c>
      <c r="C957" s="56" t="s">
        <v>108</v>
      </c>
      <c r="D957" s="56" t="s">
        <v>2590</v>
      </c>
      <c r="E957" s="74" t="s">
        <v>108</v>
      </c>
      <c r="F957" s="56" t="s">
        <v>2211</v>
      </c>
      <c r="G957" s="56" t="s">
        <v>2237</v>
      </c>
    </row>
    <row r="958" spans="1:7">
      <c r="A958" s="56" t="s">
        <v>2328</v>
      </c>
      <c r="B958" s="56" t="s">
        <v>2327</v>
      </c>
      <c r="C958" s="56" t="s">
        <v>108</v>
      </c>
      <c r="D958" s="56" t="s">
        <v>2590</v>
      </c>
      <c r="E958" s="74" t="s">
        <v>108</v>
      </c>
      <c r="F958" s="56" t="s">
        <v>2211</v>
      </c>
      <c r="G958" s="56" t="s">
        <v>2237</v>
      </c>
    </row>
    <row r="959" spans="1:7" ht="17.100000000000001">
      <c r="A959" s="75" t="s">
        <v>2598</v>
      </c>
      <c r="B959" s="75"/>
      <c r="C959" s="75"/>
      <c r="D959" s="75"/>
      <c r="E959" s="76"/>
      <c r="F959" s="75"/>
      <c r="G959" s="75"/>
    </row>
    <row r="960" spans="1:7">
      <c r="A960" s="56" t="s">
        <v>2330</v>
      </c>
      <c r="B960" s="56" t="s">
        <v>2331</v>
      </c>
      <c r="C960" s="56" t="s">
        <v>2307</v>
      </c>
      <c r="D960" s="56" t="s">
        <v>2590</v>
      </c>
      <c r="E960" s="74" t="s">
        <v>2307</v>
      </c>
      <c r="F960" s="56" t="s">
        <v>2211</v>
      </c>
      <c r="G960" s="56" t="s">
        <v>2332</v>
      </c>
    </row>
    <row r="961" spans="1:7">
      <c r="A961" s="56" t="s">
        <v>2333</v>
      </c>
      <c r="B961" s="56" t="s">
        <v>2334</v>
      </c>
      <c r="C961" s="56" t="s">
        <v>108</v>
      </c>
      <c r="D961" s="56" t="s">
        <v>2590</v>
      </c>
      <c r="E961" s="74" t="s">
        <v>108</v>
      </c>
      <c r="F961" s="56" t="s">
        <v>2211</v>
      </c>
      <c r="G961" s="56" t="s">
        <v>2335</v>
      </c>
    </row>
    <row r="962" spans="1:7">
      <c r="A962" s="56" t="s">
        <v>2336</v>
      </c>
      <c r="B962" s="56" t="s">
        <v>2337</v>
      </c>
      <c r="C962" s="56" t="s">
        <v>108</v>
      </c>
      <c r="D962" s="56" t="s">
        <v>2590</v>
      </c>
      <c r="E962" s="74" t="s">
        <v>108</v>
      </c>
      <c r="F962" s="56" t="s">
        <v>2211</v>
      </c>
      <c r="G962" s="56" t="s">
        <v>2338</v>
      </c>
    </row>
    <row r="963" spans="1:7">
      <c r="A963" s="56" t="s">
        <v>2339</v>
      </c>
      <c r="B963" s="56" t="s">
        <v>2340</v>
      </c>
      <c r="C963" s="56" t="s">
        <v>108</v>
      </c>
      <c r="D963" s="56" t="s">
        <v>2590</v>
      </c>
      <c r="E963" s="74" t="s">
        <v>108</v>
      </c>
      <c r="F963" s="56" t="s">
        <v>2211</v>
      </c>
      <c r="G963" s="56" t="s">
        <v>2341</v>
      </c>
    </row>
    <row r="964" spans="1:7" ht="17.100000000000001">
      <c r="A964" s="75" t="s">
        <v>2599</v>
      </c>
      <c r="B964" s="75"/>
      <c r="C964" s="75"/>
      <c r="D964" s="75"/>
      <c r="E964" s="76"/>
      <c r="F964" s="75"/>
      <c r="G964" s="75"/>
    </row>
    <row r="965" spans="1:7">
      <c r="A965" s="56" t="s">
        <v>2344</v>
      </c>
      <c r="B965" s="56" t="s">
        <v>2334</v>
      </c>
      <c r="C965" s="56" t="s">
        <v>108</v>
      </c>
      <c r="D965" s="56" t="s">
        <v>2590</v>
      </c>
      <c r="E965" s="74" t="s">
        <v>108</v>
      </c>
      <c r="F965" s="56" t="s">
        <v>2211</v>
      </c>
      <c r="G965" s="56" t="s">
        <v>2345</v>
      </c>
    </row>
    <row r="966" spans="1:7">
      <c r="A966" s="56" t="s">
        <v>2346</v>
      </c>
      <c r="B966" s="56" t="s">
        <v>2347</v>
      </c>
      <c r="C966" s="56" t="s">
        <v>108</v>
      </c>
      <c r="D966" s="56" t="s">
        <v>2590</v>
      </c>
      <c r="E966" s="74" t="s">
        <v>108</v>
      </c>
      <c r="F966" s="56" t="s">
        <v>2211</v>
      </c>
      <c r="G966" s="56" t="s">
        <v>2348</v>
      </c>
    </row>
    <row r="967" spans="1:7">
      <c r="A967" s="56" t="s">
        <v>2349</v>
      </c>
      <c r="B967" s="56" t="s">
        <v>2350</v>
      </c>
      <c r="C967" s="56" t="s">
        <v>108</v>
      </c>
      <c r="D967" s="56" t="s">
        <v>2590</v>
      </c>
      <c r="E967" s="74" t="s">
        <v>108</v>
      </c>
      <c r="F967" s="56" t="s">
        <v>2211</v>
      </c>
      <c r="G967" s="56" t="s">
        <v>2351</v>
      </c>
    </row>
    <row r="968" spans="1:7">
      <c r="A968" s="56" t="s">
        <v>2352</v>
      </c>
      <c r="B968" s="56" t="s">
        <v>2353</v>
      </c>
      <c r="C968" s="56" t="s">
        <v>2307</v>
      </c>
      <c r="D968" s="56" t="s">
        <v>2590</v>
      </c>
      <c r="E968" s="74" t="s">
        <v>2307</v>
      </c>
      <c r="F968" s="56" t="s">
        <v>2211</v>
      </c>
      <c r="G968" s="56" t="s">
        <v>2237</v>
      </c>
    </row>
    <row r="969" spans="1:7">
      <c r="A969" s="56" t="s">
        <v>2354</v>
      </c>
      <c r="B969" s="56" t="s">
        <v>2353</v>
      </c>
      <c r="C969" s="56" t="s">
        <v>2355</v>
      </c>
      <c r="D969" s="56" t="s">
        <v>2590</v>
      </c>
      <c r="E969" s="74" t="s">
        <v>108</v>
      </c>
      <c r="F969" s="56" t="s">
        <v>2211</v>
      </c>
      <c r="G969" s="56" t="s">
        <v>2237</v>
      </c>
    </row>
    <row r="970" spans="1:7" ht="17.100000000000001">
      <c r="A970" s="75" t="s">
        <v>2600</v>
      </c>
      <c r="B970" s="75"/>
      <c r="C970" s="75"/>
      <c r="D970" s="75"/>
      <c r="E970" s="76"/>
      <c r="F970" s="75"/>
      <c r="G970" s="75"/>
    </row>
    <row r="971" spans="1:7">
      <c r="A971" s="56" t="s">
        <v>2357</v>
      </c>
      <c r="B971" s="56" t="s">
        <v>2358</v>
      </c>
      <c r="C971" s="56" t="s">
        <v>108</v>
      </c>
      <c r="D971" s="56" t="s">
        <v>2590</v>
      </c>
      <c r="E971" s="74" t="s">
        <v>108</v>
      </c>
      <c r="F971" s="56" t="s">
        <v>2211</v>
      </c>
      <c r="G971" s="56" t="s">
        <v>2237</v>
      </c>
    </row>
    <row r="972" spans="1:7">
      <c r="A972" s="56" t="s">
        <v>2359</v>
      </c>
      <c r="B972" s="56" t="s">
        <v>2358</v>
      </c>
      <c r="C972" s="56" t="s">
        <v>2307</v>
      </c>
      <c r="D972" s="56" t="s">
        <v>2590</v>
      </c>
      <c r="E972" s="74" t="s">
        <v>2307</v>
      </c>
      <c r="F972" s="56" t="s">
        <v>2211</v>
      </c>
      <c r="G972" s="56" t="s">
        <v>2360</v>
      </c>
    </row>
    <row r="973" spans="1:7">
      <c r="A973" s="56" t="s">
        <v>2366</v>
      </c>
      <c r="B973" s="56" t="s">
        <v>2362</v>
      </c>
      <c r="C973" s="56" t="s">
        <v>2265</v>
      </c>
      <c r="D973" s="56" t="s">
        <v>2590</v>
      </c>
      <c r="E973" s="74" t="s">
        <v>108</v>
      </c>
      <c r="F973" s="56" t="s">
        <v>2211</v>
      </c>
      <c r="G973" s="56" t="s">
        <v>2367</v>
      </c>
    </row>
    <row r="974" spans="1:7">
      <c r="A974" s="56" t="s">
        <v>2368</v>
      </c>
      <c r="B974" s="56" t="s">
        <v>2358</v>
      </c>
      <c r="C974" s="56" t="s">
        <v>2369</v>
      </c>
      <c r="D974" s="56" t="s">
        <v>2590</v>
      </c>
      <c r="E974" s="74" t="s">
        <v>108</v>
      </c>
      <c r="F974" s="56" t="s">
        <v>2211</v>
      </c>
      <c r="G974" s="56" t="s">
        <v>2237</v>
      </c>
    </row>
    <row r="975" spans="1:7">
      <c r="A975" s="56" t="s">
        <v>2370</v>
      </c>
      <c r="B975" s="56" t="s">
        <v>2358</v>
      </c>
      <c r="C975" s="56" t="s">
        <v>2371</v>
      </c>
      <c r="D975" s="56" t="s">
        <v>2590</v>
      </c>
      <c r="E975" s="74" t="s">
        <v>108</v>
      </c>
      <c r="F975" s="56" t="s">
        <v>2211</v>
      </c>
      <c r="G975" s="56" t="s">
        <v>2372</v>
      </c>
    </row>
    <row r="976" spans="1:7" ht="17.100000000000001">
      <c r="A976" s="75" t="s">
        <v>2601</v>
      </c>
      <c r="B976" s="75"/>
      <c r="C976" s="75"/>
      <c r="D976" s="75"/>
      <c r="E976" s="76"/>
      <c r="F976" s="75"/>
      <c r="G976" s="75"/>
    </row>
    <row r="977" spans="1:7">
      <c r="A977" s="56" t="s">
        <v>2374</v>
      </c>
      <c r="B977" s="56" t="s">
        <v>2375</v>
      </c>
      <c r="C977" s="56" t="s">
        <v>2376</v>
      </c>
      <c r="D977" s="56" t="s">
        <v>2590</v>
      </c>
      <c r="E977" s="74" t="s">
        <v>108</v>
      </c>
      <c r="F977" s="56" t="s">
        <v>2211</v>
      </c>
      <c r="G977" s="56" t="s">
        <v>2377</v>
      </c>
    </row>
    <row r="978" spans="1:7">
      <c r="A978" s="56" t="s">
        <v>2378</v>
      </c>
      <c r="B978" s="56" t="s">
        <v>2379</v>
      </c>
      <c r="C978" s="56" t="s">
        <v>2380</v>
      </c>
      <c r="D978" s="56" t="s">
        <v>2590</v>
      </c>
      <c r="E978" s="74" t="s">
        <v>108</v>
      </c>
      <c r="F978" s="56" t="s">
        <v>2211</v>
      </c>
      <c r="G978" s="56" t="s">
        <v>2381</v>
      </c>
    </row>
    <row r="979" spans="1:7">
      <c r="A979" s="56" t="s">
        <v>2383</v>
      </c>
      <c r="B979" s="56"/>
      <c r="C979" s="56" t="s">
        <v>108</v>
      </c>
      <c r="D979" s="56" t="s">
        <v>2590</v>
      </c>
      <c r="E979" s="74" t="s">
        <v>108</v>
      </c>
      <c r="F979" s="56" t="s">
        <v>2211</v>
      </c>
      <c r="G979" s="56" t="s">
        <v>2237</v>
      </c>
    </row>
    <row r="980" spans="1:7">
      <c r="A980" s="56" t="s">
        <v>2384</v>
      </c>
      <c r="B980" s="56" t="s">
        <v>2385</v>
      </c>
      <c r="C980" s="56" t="s">
        <v>2386</v>
      </c>
      <c r="D980" s="56" t="s">
        <v>2590</v>
      </c>
      <c r="E980" s="74" t="s">
        <v>2386</v>
      </c>
      <c r="F980" s="56" t="s">
        <v>2211</v>
      </c>
      <c r="G980" s="56" t="s">
        <v>2387</v>
      </c>
    </row>
    <row r="981" spans="1:7" ht="17.100000000000001">
      <c r="A981" s="75" t="s">
        <v>2602</v>
      </c>
      <c r="B981" s="75"/>
      <c r="C981" s="75"/>
      <c r="D981" s="75"/>
      <c r="E981" s="76"/>
      <c r="F981" s="75"/>
      <c r="G981" s="75"/>
    </row>
    <row r="982" spans="1:7">
      <c r="A982" s="56" t="s">
        <v>2230</v>
      </c>
      <c r="B982" s="56" t="s">
        <v>2231</v>
      </c>
      <c r="C982" s="56" t="s">
        <v>1562</v>
      </c>
      <c r="D982" s="56" t="s">
        <v>2505</v>
      </c>
      <c r="E982" s="74" t="s">
        <v>1562</v>
      </c>
      <c r="F982" s="56" t="s">
        <v>2099</v>
      </c>
      <c r="G982" s="56" t="s">
        <v>2233</v>
      </c>
    </row>
    <row r="983" spans="1:7">
      <c r="A983" s="56" t="s">
        <v>2235</v>
      </c>
      <c r="B983" s="56" t="s">
        <v>2236</v>
      </c>
      <c r="C983" s="56" t="s">
        <v>1212</v>
      </c>
      <c r="D983" s="56" t="s">
        <v>2505</v>
      </c>
      <c r="E983" s="74" t="s">
        <v>1212</v>
      </c>
      <c r="F983" s="56" t="s">
        <v>2220</v>
      </c>
      <c r="G983" s="56" t="s">
        <v>2237</v>
      </c>
    </row>
    <row r="984" spans="1:7">
      <c r="A984" s="56" t="s">
        <v>2238</v>
      </c>
      <c r="B984" s="56"/>
      <c r="C984" s="56" t="s">
        <v>2239</v>
      </c>
      <c r="D984" s="56" t="s">
        <v>2505</v>
      </c>
      <c r="E984" s="74" t="s">
        <v>2422</v>
      </c>
      <c r="F984" s="56" t="s">
        <v>2220</v>
      </c>
      <c r="G984" s="56" t="s">
        <v>2237</v>
      </c>
    </row>
    <row r="985" spans="1:7">
      <c r="A985" s="56" t="s">
        <v>2240</v>
      </c>
      <c r="B985" s="56" t="s">
        <v>2241</v>
      </c>
      <c r="C985" s="56" t="s">
        <v>108</v>
      </c>
      <c r="D985" s="56" t="s">
        <v>2505</v>
      </c>
      <c r="E985" s="74" t="s">
        <v>108</v>
      </c>
      <c r="F985" s="56" t="s">
        <v>2220</v>
      </c>
      <c r="G985" s="56" t="s">
        <v>2237</v>
      </c>
    </row>
    <row r="986" spans="1:7">
      <c r="A986" s="56" t="s">
        <v>2242</v>
      </c>
      <c r="B986" s="56" t="s">
        <v>2243</v>
      </c>
      <c r="C986" s="56" t="s">
        <v>108</v>
      </c>
      <c r="D986" s="56" t="s">
        <v>2505</v>
      </c>
      <c r="E986" s="74" t="s">
        <v>108</v>
      </c>
      <c r="F986" s="56" t="s">
        <v>2220</v>
      </c>
      <c r="G986" s="56" t="s">
        <v>2244</v>
      </c>
    </row>
    <row r="987" spans="1:7">
      <c r="A987" s="56" t="s">
        <v>2245</v>
      </c>
      <c r="B987" s="56"/>
      <c r="C987" s="56" t="s">
        <v>108</v>
      </c>
      <c r="D987" s="56" t="s">
        <v>2505</v>
      </c>
      <c r="E987" s="74" t="s">
        <v>108</v>
      </c>
      <c r="F987" s="56" t="s">
        <v>2220</v>
      </c>
      <c r="G987" s="56" t="s">
        <v>2237</v>
      </c>
    </row>
    <row r="988" spans="1:7" ht="17.100000000000001">
      <c r="A988" s="75" t="s">
        <v>2603</v>
      </c>
      <c r="B988" s="75"/>
      <c r="C988" s="75"/>
      <c r="D988" s="75"/>
      <c r="E988" s="76"/>
      <c r="F988" s="75"/>
      <c r="G988" s="75"/>
    </row>
    <row r="989" spans="1:7">
      <c r="A989" s="56" t="s">
        <v>2247</v>
      </c>
      <c r="B989" s="56" t="s">
        <v>2248</v>
      </c>
      <c r="C989" s="56" t="s">
        <v>108</v>
      </c>
      <c r="D989" s="56" t="s">
        <v>2505</v>
      </c>
      <c r="E989" s="74" t="s">
        <v>108</v>
      </c>
      <c r="F989" s="56" t="s">
        <v>2220</v>
      </c>
      <c r="G989" s="56" t="s">
        <v>2237</v>
      </c>
    </row>
    <row r="990" spans="1:7">
      <c r="A990" s="56" t="s">
        <v>2249</v>
      </c>
      <c r="B990" s="56" t="s">
        <v>2250</v>
      </c>
      <c r="C990" s="56" t="s">
        <v>108</v>
      </c>
      <c r="D990" s="56" t="s">
        <v>2505</v>
      </c>
      <c r="E990" s="74" t="s">
        <v>108</v>
      </c>
      <c r="F990" s="56" t="s">
        <v>2220</v>
      </c>
      <c r="G990" s="56" t="s">
        <v>2251</v>
      </c>
    </row>
    <row r="991" spans="1:7">
      <c r="A991" s="56" t="s">
        <v>2252</v>
      </c>
      <c r="B991" s="56" t="s">
        <v>2250</v>
      </c>
      <c r="C991" s="56" t="s">
        <v>108</v>
      </c>
      <c r="D991" s="56" t="s">
        <v>2505</v>
      </c>
      <c r="E991" s="74" t="s">
        <v>108</v>
      </c>
      <c r="F991" s="56" t="s">
        <v>2220</v>
      </c>
      <c r="G991" s="56" t="s">
        <v>2237</v>
      </c>
    </row>
    <row r="992" spans="1:7">
      <c r="A992" s="56" t="s">
        <v>2253</v>
      </c>
      <c r="B992" s="56" t="s">
        <v>2236</v>
      </c>
      <c r="C992" s="56" t="s">
        <v>2254</v>
      </c>
      <c r="D992" s="56" t="s">
        <v>2505</v>
      </c>
      <c r="E992" s="74" t="s">
        <v>2425</v>
      </c>
      <c r="F992" s="56" t="s">
        <v>2217</v>
      </c>
      <c r="G992" s="56" t="s">
        <v>2237</v>
      </c>
    </row>
    <row r="993" spans="1:7">
      <c r="A993" s="56" t="s">
        <v>2256</v>
      </c>
      <c r="B993" s="56" t="s">
        <v>2257</v>
      </c>
      <c r="C993" s="56" t="s">
        <v>108</v>
      </c>
      <c r="D993" s="56" t="s">
        <v>2505</v>
      </c>
      <c r="E993" s="74" t="s">
        <v>108</v>
      </c>
      <c r="F993" s="56" t="s">
        <v>2220</v>
      </c>
      <c r="G993" s="56" t="s">
        <v>2258</v>
      </c>
    </row>
    <row r="994" spans="1:7" ht="17.100000000000001">
      <c r="A994" s="75" t="s">
        <v>2604</v>
      </c>
      <c r="B994" s="75"/>
      <c r="C994" s="75"/>
      <c r="D994" s="75"/>
      <c r="E994" s="76"/>
      <c r="F994" s="75"/>
      <c r="G994" s="75"/>
    </row>
    <row r="995" spans="1:7">
      <c r="A995" s="56" t="s">
        <v>2260</v>
      </c>
      <c r="B995" s="56" t="s">
        <v>2261</v>
      </c>
      <c r="C995" s="56" t="s">
        <v>108</v>
      </c>
      <c r="D995" s="56" t="s">
        <v>2505</v>
      </c>
      <c r="E995" s="74" t="s">
        <v>108</v>
      </c>
      <c r="F995" s="56" t="s">
        <v>2220</v>
      </c>
      <c r="G995" s="56" t="s">
        <v>2237</v>
      </c>
    </row>
    <row r="996" spans="1:7">
      <c r="A996" s="56" t="s">
        <v>2262</v>
      </c>
      <c r="B996" s="56" t="s">
        <v>2261</v>
      </c>
      <c r="C996" s="56" t="s">
        <v>2263</v>
      </c>
      <c r="D996" s="56" t="s">
        <v>2505</v>
      </c>
      <c r="E996" s="74" t="s">
        <v>108</v>
      </c>
      <c r="F996" s="56" t="s">
        <v>2220</v>
      </c>
      <c r="G996" s="56" t="s">
        <v>2237</v>
      </c>
    </row>
    <row r="997" spans="1:7">
      <c r="A997" s="56" t="s">
        <v>2264</v>
      </c>
      <c r="B997" s="56" t="s">
        <v>2261</v>
      </c>
      <c r="C997" s="56" t="s">
        <v>2265</v>
      </c>
      <c r="D997" s="56" t="s">
        <v>2505</v>
      </c>
      <c r="E997" s="74" t="s">
        <v>108</v>
      </c>
      <c r="F997" s="56" t="s">
        <v>2220</v>
      </c>
      <c r="G997" s="56" t="s">
        <v>2266</v>
      </c>
    </row>
    <row r="998" spans="1:7">
      <c r="A998" s="56" t="s">
        <v>2267</v>
      </c>
      <c r="B998" s="56" t="s">
        <v>2261</v>
      </c>
      <c r="C998" s="56" t="s">
        <v>108</v>
      </c>
      <c r="D998" s="56" t="s">
        <v>2505</v>
      </c>
      <c r="E998" s="74" t="s">
        <v>108</v>
      </c>
      <c r="F998" s="56" t="s">
        <v>2220</v>
      </c>
      <c r="G998" s="56" t="s">
        <v>2237</v>
      </c>
    </row>
    <row r="999" spans="1:7" ht="17.100000000000001">
      <c r="A999" s="75" t="s">
        <v>2605</v>
      </c>
      <c r="B999" s="75"/>
      <c r="C999" s="75"/>
      <c r="D999" s="75"/>
      <c r="E999" s="76"/>
      <c r="F999" s="75"/>
      <c r="G999" s="75"/>
    </row>
    <row r="1000" spans="1:7">
      <c r="A1000" s="56" t="s">
        <v>2269</v>
      </c>
      <c r="B1000" s="56" t="s">
        <v>2270</v>
      </c>
      <c r="C1000" s="56" t="s">
        <v>2271</v>
      </c>
      <c r="D1000" s="56" t="s">
        <v>2505</v>
      </c>
      <c r="E1000" s="74" t="s">
        <v>108</v>
      </c>
      <c r="F1000" s="56" t="s">
        <v>2220</v>
      </c>
      <c r="G1000" s="56" t="s">
        <v>2237</v>
      </c>
    </row>
    <row r="1001" spans="1:7">
      <c r="A1001" s="56" t="s">
        <v>2428</v>
      </c>
      <c r="B1001" s="56"/>
      <c r="C1001" s="56" t="s">
        <v>549</v>
      </c>
      <c r="D1001" s="56" t="s">
        <v>2505</v>
      </c>
      <c r="E1001" s="74" t="s">
        <v>549</v>
      </c>
      <c r="F1001" s="56" t="s">
        <v>2099</v>
      </c>
      <c r="G1001" s="56" t="s">
        <v>2429</v>
      </c>
    </row>
    <row r="1002" spans="1:7">
      <c r="A1002" s="56" t="s">
        <v>2430</v>
      </c>
      <c r="B1002" s="56" t="s">
        <v>2273</v>
      </c>
      <c r="C1002" s="56" t="s">
        <v>549</v>
      </c>
      <c r="D1002" s="56" t="s">
        <v>2505</v>
      </c>
      <c r="E1002" s="74" t="s">
        <v>549</v>
      </c>
      <c r="F1002" s="56" t="s">
        <v>2099</v>
      </c>
      <c r="G1002" s="56" t="s">
        <v>2431</v>
      </c>
    </row>
    <row r="1003" spans="1:7">
      <c r="A1003" s="56" t="s">
        <v>2272</v>
      </c>
      <c r="B1003" s="56" t="s">
        <v>2273</v>
      </c>
      <c r="C1003" s="56" t="s">
        <v>108</v>
      </c>
      <c r="D1003" s="56" t="s">
        <v>2505</v>
      </c>
      <c r="E1003" s="74" t="s">
        <v>108</v>
      </c>
      <c r="F1003" s="56" t="s">
        <v>2220</v>
      </c>
      <c r="G1003" s="56" t="s">
        <v>2237</v>
      </c>
    </row>
    <row r="1004" spans="1:7">
      <c r="A1004" s="56" t="s">
        <v>2274</v>
      </c>
      <c r="B1004" s="56" t="s">
        <v>2270</v>
      </c>
      <c r="C1004" s="56" t="s">
        <v>2275</v>
      </c>
      <c r="D1004" s="56" t="s">
        <v>2505</v>
      </c>
      <c r="E1004" s="74" t="s">
        <v>108</v>
      </c>
      <c r="F1004" s="56" t="s">
        <v>2220</v>
      </c>
      <c r="G1004" s="56" t="s">
        <v>2237</v>
      </c>
    </row>
    <row r="1005" spans="1:7">
      <c r="A1005" s="56" t="s">
        <v>2276</v>
      </c>
      <c r="B1005" s="56" t="s">
        <v>2273</v>
      </c>
      <c r="C1005" s="56" t="s">
        <v>2277</v>
      </c>
      <c r="D1005" s="56" t="s">
        <v>2505</v>
      </c>
      <c r="E1005" s="74" t="s">
        <v>2509</v>
      </c>
      <c r="F1005" s="56" t="s">
        <v>2099</v>
      </c>
      <c r="G1005" s="56" t="s">
        <v>2278</v>
      </c>
    </row>
    <row r="1006" spans="1:7">
      <c r="A1006" s="56" t="s">
        <v>2279</v>
      </c>
      <c r="B1006" s="56" t="s">
        <v>2280</v>
      </c>
      <c r="C1006" s="56" t="s">
        <v>108</v>
      </c>
      <c r="D1006" s="56" t="s">
        <v>2505</v>
      </c>
      <c r="E1006" s="74" t="s">
        <v>108</v>
      </c>
      <c r="F1006" s="56" t="s">
        <v>2220</v>
      </c>
      <c r="G1006" s="56" t="s">
        <v>2281</v>
      </c>
    </row>
    <row r="1007" spans="1:7">
      <c r="A1007" s="56" t="s">
        <v>2282</v>
      </c>
      <c r="B1007" s="56" t="s">
        <v>2280</v>
      </c>
      <c r="C1007" s="56" t="s">
        <v>108</v>
      </c>
      <c r="D1007" s="56" t="s">
        <v>2505</v>
      </c>
      <c r="E1007" s="74" t="s">
        <v>108</v>
      </c>
      <c r="F1007" s="56" t="s">
        <v>2220</v>
      </c>
      <c r="G1007" s="56" t="s">
        <v>2237</v>
      </c>
    </row>
    <row r="1008" spans="1:7" ht="17.100000000000001">
      <c r="A1008" s="75" t="s">
        <v>2606</v>
      </c>
      <c r="B1008" s="75"/>
      <c r="C1008" s="75"/>
      <c r="D1008" s="75"/>
      <c r="E1008" s="76"/>
      <c r="F1008" s="75"/>
      <c r="G1008" s="75"/>
    </row>
    <row r="1009" spans="1:7">
      <c r="A1009" s="56" t="s">
        <v>2284</v>
      </c>
      <c r="B1009" s="56" t="s">
        <v>2285</v>
      </c>
      <c r="C1009" s="56" t="s">
        <v>108</v>
      </c>
      <c r="D1009" s="56" t="s">
        <v>2505</v>
      </c>
      <c r="E1009" s="74" t="s">
        <v>108</v>
      </c>
      <c r="F1009" s="56" t="s">
        <v>2220</v>
      </c>
      <c r="G1009" s="56" t="s">
        <v>2286</v>
      </c>
    </row>
    <row r="1010" spans="1:7">
      <c r="A1010" s="56" t="s">
        <v>2287</v>
      </c>
      <c r="B1010" s="56" t="s">
        <v>2248</v>
      </c>
      <c r="C1010" s="56" t="s">
        <v>2288</v>
      </c>
      <c r="D1010" s="56" t="s">
        <v>2505</v>
      </c>
      <c r="E1010" s="74" t="s">
        <v>2425</v>
      </c>
      <c r="F1010" s="56" t="s">
        <v>2217</v>
      </c>
      <c r="G1010" s="56" t="s">
        <v>2237</v>
      </c>
    </row>
    <row r="1011" spans="1:7">
      <c r="A1011" s="56" t="s">
        <v>2289</v>
      </c>
      <c r="B1011" s="56" t="s">
        <v>2248</v>
      </c>
      <c r="C1011" s="56" t="s">
        <v>2254</v>
      </c>
      <c r="D1011" s="56" t="s">
        <v>2505</v>
      </c>
      <c r="E1011" s="74" t="s">
        <v>2425</v>
      </c>
      <c r="F1011" s="56" t="s">
        <v>2217</v>
      </c>
      <c r="G1011" s="56" t="s">
        <v>2237</v>
      </c>
    </row>
    <row r="1012" spans="1:7">
      <c r="A1012" s="56" t="s">
        <v>2290</v>
      </c>
      <c r="B1012" s="56" t="s">
        <v>2248</v>
      </c>
      <c r="C1012" s="56" t="s">
        <v>2254</v>
      </c>
      <c r="D1012" s="56" t="s">
        <v>2505</v>
      </c>
      <c r="E1012" s="74" t="s">
        <v>2425</v>
      </c>
      <c r="F1012" s="56" t="s">
        <v>2217</v>
      </c>
      <c r="G1012" s="56" t="s">
        <v>2237</v>
      </c>
    </row>
    <row r="1013" spans="1:7">
      <c r="A1013" s="56" t="s">
        <v>2291</v>
      </c>
      <c r="B1013" s="56" t="s">
        <v>2292</v>
      </c>
      <c r="C1013" s="56" t="s">
        <v>2254</v>
      </c>
      <c r="D1013" s="56" t="s">
        <v>2505</v>
      </c>
      <c r="E1013" s="74" t="s">
        <v>2425</v>
      </c>
      <c r="F1013" s="56" t="s">
        <v>2217</v>
      </c>
      <c r="G1013" s="56" t="s">
        <v>2237</v>
      </c>
    </row>
    <row r="1014" spans="1:7">
      <c r="A1014" s="56" t="s">
        <v>2293</v>
      </c>
      <c r="B1014" s="56"/>
      <c r="C1014" s="56" t="s">
        <v>2254</v>
      </c>
      <c r="D1014" s="56" t="s">
        <v>2505</v>
      </c>
      <c r="E1014" s="74" t="s">
        <v>2425</v>
      </c>
      <c r="F1014" s="56" t="s">
        <v>2217</v>
      </c>
      <c r="G1014" s="56" t="s">
        <v>2237</v>
      </c>
    </row>
    <row r="1015" spans="1:7">
      <c r="A1015" s="56" t="s">
        <v>2294</v>
      </c>
      <c r="B1015" s="56"/>
      <c r="C1015" s="56" t="s">
        <v>2254</v>
      </c>
      <c r="D1015" s="56" t="s">
        <v>2505</v>
      </c>
      <c r="E1015" s="74" t="s">
        <v>2425</v>
      </c>
      <c r="F1015" s="56" t="s">
        <v>2217</v>
      </c>
      <c r="G1015" s="56" t="s">
        <v>2237</v>
      </c>
    </row>
    <row r="1016" spans="1:7">
      <c r="A1016" s="56" t="s">
        <v>2295</v>
      </c>
      <c r="B1016" s="56"/>
      <c r="C1016" s="56" t="s">
        <v>2254</v>
      </c>
      <c r="D1016" s="56" t="s">
        <v>2505</v>
      </c>
      <c r="E1016" s="74" t="s">
        <v>2425</v>
      </c>
      <c r="F1016" s="56" t="s">
        <v>2217</v>
      </c>
      <c r="G1016" s="56" t="s">
        <v>2237</v>
      </c>
    </row>
    <row r="1017" spans="1:7" ht="17.100000000000001">
      <c r="A1017" s="75" t="s">
        <v>2607</v>
      </c>
      <c r="B1017" s="75"/>
      <c r="C1017" s="75"/>
      <c r="D1017" s="75"/>
      <c r="E1017" s="76"/>
      <c r="F1017" s="75"/>
      <c r="G1017" s="75"/>
    </row>
    <row r="1018" spans="1:7">
      <c r="A1018" s="56" t="s">
        <v>2297</v>
      </c>
      <c r="B1018" s="56" t="s">
        <v>2298</v>
      </c>
      <c r="C1018" s="56" t="s">
        <v>108</v>
      </c>
      <c r="D1018" s="56" t="s">
        <v>2505</v>
      </c>
      <c r="E1018" s="74" t="s">
        <v>108</v>
      </c>
      <c r="F1018" s="56" t="s">
        <v>2220</v>
      </c>
      <c r="G1018" s="56" t="s">
        <v>2237</v>
      </c>
    </row>
    <row r="1019" spans="1:7">
      <c r="A1019" s="56" t="s">
        <v>2299</v>
      </c>
      <c r="B1019" s="56" t="s">
        <v>2298</v>
      </c>
      <c r="C1019" s="56" t="s">
        <v>2300</v>
      </c>
      <c r="D1019" s="56" t="s">
        <v>2505</v>
      </c>
      <c r="E1019" s="74" t="s">
        <v>108</v>
      </c>
      <c r="F1019" s="56" t="s">
        <v>2220</v>
      </c>
      <c r="G1019" s="56" t="s">
        <v>2301</v>
      </c>
    </row>
    <row r="1020" spans="1:7">
      <c r="A1020" s="56" t="s">
        <v>2302</v>
      </c>
      <c r="B1020" s="56"/>
      <c r="C1020" s="56" t="s">
        <v>2303</v>
      </c>
      <c r="D1020" s="56" t="s">
        <v>2505</v>
      </c>
      <c r="E1020" s="74" t="s">
        <v>108</v>
      </c>
      <c r="F1020" s="56" t="s">
        <v>2220</v>
      </c>
      <c r="G1020" s="56" t="s">
        <v>2237</v>
      </c>
    </row>
    <row r="1021" spans="1:7">
      <c r="A1021" s="56" t="s">
        <v>2304</v>
      </c>
      <c r="B1021" s="56"/>
      <c r="C1021" s="56" t="s">
        <v>2254</v>
      </c>
      <c r="D1021" s="56" t="s">
        <v>2505</v>
      </c>
      <c r="E1021" s="74" t="s">
        <v>2425</v>
      </c>
      <c r="F1021" s="56" t="s">
        <v>2217</v>
      </c>
      <c r="G1021" s="56" t="s">
        <v>2237</v>
      </c>
    </row>
    <row r="1022" spans="1:7">
      <c r="A1022" s="56" t="s">
        <v>2305</v>
      </c>
      <c r="B1022" s="56"/>
      <c r="C1022" s="56" t="s">
        <v>2254</v>
      </c>
      <c r="D1022" s="56" t="s">
        <v>2505</v>
      </c>
      <c r="E1022" s="74" t="s">
        <v>2425</v>
      </c>
      <c r="F1022" s="56" t="s">
        <v>2217</v>
      </c>
      <c r="G1022" s="56" t="s">
        <v>2237</v>
      </c>
    </row>
    <row r="1023" spans="1:7">
      <c r="A1023" s="56" t="s">
        <v>2306</v>
      </c>
      <c r="B1023" s="56" t="s">
        <v>2298</v>
      </c>
      <c r="C1023" s="56" t="s">
        <v>2307</v>
      </c>
      <c r="D1023" s="56" t="s">
        <v>2505</v>
      </c>
      <c r="E1023" s="74" t="s">
        <v>2307</v>
      </c>
      <c r="F1023" s="56" t="s">
        <v>2220</v>
      </c>
      <c r="G1023" s="56" t="s">
        <v>2237</v>
      </c>
    </row>
    <row r="1024" spans="1:7">
      <c r="A1024" s="56" t="s">
        <v>2308</v>
      </c>
      <c r="B1024" s="56" t="s">
        <v>2309</v>
      </c>
      <c r="C1024" s="56" t="s">
        <v>108</v>
      </c>
      <c r="D1024" s="56" t="s">
        <v>2505</v>
      </c>
      <c r="E1024" s="74" t="s">
        <v>108</v>
      </c>
      <c r="F1024" s="56" t="s">
        <v>2220</v>
      </c>
      <c r="G1024" s="56" t="s">
        <v>2237</v>
      </c>
    </row>
    <row r="1025" spans="1:7" ht="17.100000000000001">
      <c r="A1025" s="75" t="s">
        <v>2608</v>
      </c>
      <c r="B1025" s="75"/>
      <c r="C1025" s="75"/>
      <c r="D1025" s="75"/>
      <c r="E1025" s="76"/>
      <c r="F1025" s="75"/>
      <c r="G1025" s="75"/>
    </row>
    <row r="1026" spans="1:7">
      <c r="A1026" s="56" t="s">
        <v>2311</v>
      </c>
      <c r="B1026" s="56"/>
      <c r="C1026" s="56" t="s">
        <v>2307</v>
      </c>
      <c r="D1026" s="56" t="s">
        <v>2505</v>
      </c>
      <c r="E1026" s="74" t="s">
        <v>2307</v>
      </c>
      <c r="F1026" s="56" t="s">
        <v>2220</v>
      </c>
      <c r="G1026" s="56" t="s">
        <v>2237</v>
      </c>
    </row>
    <row r="1027" spans="1:7">
      <c r="A1027" s="56" t="s">
        <v>2312</v>
      </c>
      <c r="B1027" s="56"/>
      <c r="C1027" s="56" t="s">
        <v>2313</v>
      </c>
      <c r="D1027" s="56" t="s">
        <v>2505</v>
      </c>
      <c r="E1027" s="74" t="s">
        <v>2313</v>
      </c>
      <c r="F1027" s="56" t="s">
        <v>2099</v>
      </c>
      <c r="G1027" s="56" t="s">
        <v>2237</v>
      </c>
    </row>
    <row r="1028" spans="1:7">
      <c r="A1028" s="56" t="s">
        <v>2314</v>
      </c>
      <c r="B1028" s="56" t="s">
        <v>2298</v>
      </c>
      <c r="C1028" s="56" t="s">
        <v>108</v>
      </c>
      <c r="D1028" s="56" t="s">
        <v>2505</v>
      </c>
      <c r="E1028" s="74" t="s">
        <v>108</v>
      </c>
      <c r="F1028" s="56" t="s">
        <v>2220</v>
      </c>
      <c r="G1028" s="56" t="s">
        <v>2237</v>
      </c>
    </row>
    <row r="1029" spans="1:7">
      <c r="A1029" s="56" t="s">
        <v>2315</v>
      </c>
      <c r="B1029" s="56" t="s">
        <v>2298</v>
      </c>
      <c r="C1029" s="56" t="s">
        <v>108</v>
      </c>
      <c r="D1029" s="56" t="s">
        <v>2505</v>
      </c>
      <c r="E1029" s="74" t="s">
        <v>108</v>
      </c>
      <c r="F1029" s="56" t="s">
        <v>2220</v>
      </c>
      <c r="G1029" s="56" t="s">
        <v>2237</v>
      </c>
    </row>
    <row r="1030" spans="1:7">
      <c r="A1030" s="56" t="s">
        <v>2316</v>
      </c>
      <c r="B1030" s="56" t="s">
        <v>2292</v>
      </c>
      <c r="C1030" s="56" t="s">
        <v>108</v>
      </c>
      <c r="D1030" s="56" t="s">
        <v>2505</v>
      </c>
      <c r="E1030" s="74" t="s">
        <v>108</v>
      </c>
      <c r="F1030" s="56" t="s">
        <v>2220</v>
      </c>
      <c r="G1030" s="56" t="s">
        <v>2237</v>
      </c>
    </row>
    <row r="1031" spans="1:7">
      <c r="A1031" s="56" t="s">
        <v>2317</v>
      </c>
      <c r="B1031" s="56" t="s">
        <v>2318</v>
      </c>
      <c r="C1031" s="56" t="s">
        <v>2307</v>
      </c>
      <c r="D1031" s="56" t="s">
        <v>2505</v>
      </c>
      <c r="E1031" s="74" t="s">
        <v>2307</v>
      </c>
      <c r="F1031" s="56" t="s">
        <v>2220</v>
      </c>
      <c r="G1031" s="56" t="s">
        <v>2237</v>
      </c>
    </row>
    <row r="1032" spans="1:7">
      <c r="A1032" s="56" t="s">
        <v>2319</v>
      </c>
      <c r="B1032" s="56" t="s">
        <v>2318</v>
      </c>
      <c r="C1032" s="56" t="s">
        <v>2307</v>
      </c>
      <c r="D1032" s="56" t="s">
        <v>2505</v>
      </c>
      <c r="E1032" s="74" t="s">
        <v>2307</v>
      </c>
      <c r="F1032" s="56" t="s">
        <v>2220</v>
      </c>
      <c r="G1032" s="56" t="s">
        <v>2237</v>
      </c>
    </row>
    <row r="1033" spans="1:7">
      <c r="A1033" s="56" t="s">
        <v>2320</v>
      </c>
      <c r="B1033" s="56"/>
      <c r="C1033" s="56" t="s">
        <v>2254</v>
      </c>
      <c r="D1033" s="56" t="s">
        <v>2505</v>
      </c>
      <c r="E1033" s="74" t="s">
        <v>2425</v>
      </c>
      <c r="F1033" s="56" t="s">
        <v>2217</v>
      </c>
      <c r="G1033" s="56" t="s">
        <v>2237</v>
      </c>
    </row>
    <row r="1034" spans="1:7">
      <c r="A1034" s="56" t="s">
        <v>2321</v>
      </c>
      <c r="B1034" s="56" t="s">
        <v>2318</v>
      </c>
      <c r="C1034" s="56" t="s">
        <v>108</v>
      </c>
      <c r="D1034" s="56" t="s">
        <v>2505</v>
      </c>
      <c r="E1034" s="74" t="s">
        <v>108</v>
      </c>
      <c r="F1034" s="56" t="s">
        <v>2220</v>
      </c>
      <c r="G1034" s="56" t="s">
        <v>2322</v>
      </c>
    </row>
    <row r="1035" spans="1:7" ht="17.100000000000001">
      <c r="A1035" s="75" t="s">
        <v>2609</v>
      </c>
      <c r="B1035" s="75"/>
      <c r="C1035" s="75"/>
      <c r="D1035" s="75"/>
      <c r="E1035" s="76"/>
      <c r="F1035" s="75"/>
      <c r="G1035" s="75"/>
    </row>
    <row r="1036" spans="1:7">
      <c r="A1036" s="56" t="s">
        <v>2324</v>
      </c>
      <c r="B1036" s="56" t="s">
        <v>2325</v>
      </c>
      <c r="C1036" s="56" t="s">
        <v>108</v>
      </c>
      <c r="D1036" s="56" t="s">
        <v>2505</v>
      </c>
      <c r="E1036" s="74" t="s">
        <v>108</v>
      </c>
      <c r="F1036" s="56" t="s">
        <v>2220</v>
      </c>
      <c r="G1036" s="56" t="s">
        <v>2237</v>
      </c>
    </row>
    <row r="1037" spans="1:7">
      <c r="A1037" s="56" t="s">
        <v>2326</v>
      </c>
      <c r="B1037" s="56" t="s">
        <v>2327</v>
      </c>
      <c r="C1037" s="56" t="s">
        <v>108</v>
      </c>
      <c r="D1037" s="56" t="s">
        <v>2505</v>
      </c>
      <c r="E1037" s="74" t="s">
        <v>108</v>
      </c>
      <c r="F1037" s="56" t="s">
        <v>2220</v>
      </c>
      <c r="G1037" s="56" t="s">
        <v>2237</v>
      </c>
    </row>
    <row r="1038" spans="1:7">
      <c r="A1038" s="56" t="s">
        <v>2328</v>
      </c>
      <c r="B1038" s="56" t="s">
        <v>2327</v>
      </c>
      <c r="C1038" s="56" t="s">
        <v>108</v>
      </c>
      <c r="D1038" s="56" t="s">
        <v>2505</v>
      </c>
      <c r="E1038" s="74" t="s">
        <v>108</v>
      </c>
      <c r="F1038" s="56" t="s">
        <v>2220</v>
      </c>
      <c r="G1038" s="56" t="s">
        <v>2237</v>
      </c>
    </row>
    <row r="1039" spans="1:7" ht="17.100000000000001">
      <c r="A1039" s="75" t="s">
        <v>2610</v>
      </c>
      <c r="B1039" s="75"/>
      <c r="C1039" s="75"/>
      <c r="D1039" s="75"/>
      <c r="E1039" s="76"/>
      <c r="F1039" s="75"/>
      <c r="G1039" s="75"/>
    </row>
    <row r="1040" spans="1:7">
      <c r="A1040" s="56" t="s">
        <v>2438</v>
      </c>
      <c r="B1040" s="56" t="s">
        <v>2337</v>
      </c>
      <c r="C1040" s="56" t="s">
        <v>549</v>
      </c>
      <c r="D1040" s="56" t="s">
        <v>2505</v>
      </c>
      <c r="E1040" s="74" t="s">
        <v>549</v>
      </c>
      <c r="F1040" s="56" t="s">
        <v>2099</v>
      </c>
      <c r="G1040" s="56" t="s">
        <v>2439</v>
      </c>
    </row>
    <row r="1041" spans="1:7">
      <c r="A1041" s="56" t="s">
        <v>2440</v>
      </c>
      <c r="B1041" s="56" t="s">
        <v>2334</v>
      </c>
      <c r="C1041" s="56" t="s">
        <v>2441</v>
      </c>
      <c r="D1041" s="56" t="s">
        <v>2505</v>
      </c>
      <c r="E1041" s="74" t="s">
        <v>549</v>
      </c>
      <c r="F1041" s="56" t="s">
        <v>2099</v>
      </c>
      <c r="G1041" s="56" t="s">
        <v>2442</v>
      </c>
    </row>
    <row r="1042" spans="1:7">
      <c r="A1042" s="56" t="s">
        <v>2330</v>
      </c>
      <c r="B1042" s="56" t="s">
        <v>2331</v>
      </c>
      <c r="C1042" s="56" t="s">
        <v>2307</v>
      </c>
      <c r="D1042" s="56" t="s">
        <v>2505</v>
      </c>
      <c r="E1042" s="74" t="s">
        <v>2307</v>
      </c>
      <c r="F1042" s="56" t="s">
        <v>2220</v>
      </c>
      <c r="G1042" s="56" t="s">
        <v>2332</v>
      </c>
    </row>
    <row r="1043" spans="1:7">
      <c r="A1043" s="56" t="s">
        <v>2333</v>
      </c>
      <c r="B1043" s="56" t="s">
        <v>2334</v>
      </c>
      <c r="C1043" s="56" t="s">
        <v>108</v>
      </c>
      <c r="D1043" s="56" t="s">
        <v>2505</v>
      </c>
      <c r="E1043" s="74" t="s">
        <v>108</v>
      </c>
      <c r="F1043" s="56" t="s">
        <v>2220</v>
      </c>
      <c r="G1043" s="56" t="s">
        <v>2335</v>
      </c>
    </row>
    <row r="1044" spans="1:7">
      <c r="A1044" s="56" t="s">
        <v>2336</v>
      </c>
      <c r="B1044" s="56" t="s">
        <v>2337</v>
      </c>
      <c r="C1044" s="56" t="s">
        <v>108</v>
      </c>
      <c r="D1044" s="56" t="s">
        <v>2505</v>
      </c>
      <c r="E1044" s="74" t="s">
        <v>108</v>
      </c>
      <c r="F1044" s="56" t="s">
        <v>2220</v>
      </c>
      <c r="G1044" s="56" t="s">
        <v>2338</v>
      </c>
    </row>
    <row r="1045" spans="1:7">
      <c r="A1045" s="56" t="s">
        <v>2339</v>
      </c>
      <c r="B1045" s="56" t="s">
        <v>2340</v>
      </c>
      <c r="C1045" s="56" t="s">
        <v>108</v>
      </c>
      <c r="D1045" s="56" t="s">
        <v>2505</v>
      </c>
      <c r="E1045" s="74" t="s">
        <v>108</v>
      </c>
      <c r="F1045" s="56" t="s">
        <v>2220</v>
      </c>
      <c r="G1045" s="56" t="s">
        <v>2341</v>
      </c>
    </row>
    <row r="1046" spans="1:7">
      <c r="A1046" s="56" t="s">
        <v>2342</v>
      </c>
      <c r="B1046" s="56"/>
      <c r="C1046" s="56" t="s">
        <v>2254</v>
      </c>
      <c r="D1046" s="56" t="s">
        <v>2505</v>
      </c>
      <c r="E1046" s="74" t="s">
        <v>2425</v>
      </c>
      <c r="F1046" s="56" t="s">
        <v>2217</v>
      </c>
      <c r="G1046" s="56" t="s">
        <v>2237</v>
      </c>
    </row>
    <row r="1047" spans="1:7" ht="17.100000000000001">
      <c r="A1047" s="75" t="s">
        <v>2611</v>
      </c>
      <c r="B1047" s="75"/>
      <c r="C1047" s="75"/>
      <c r="D1047" s="75"/>
      <c r="E1047" s="76"/>
      <c r="F1047" s="75"/>
      <c r="G1047" s="75"/>
    </row>
    <row r="1048" spans="1:7">
      <c r="A1048" s="56" t="s">
        <v>2344</v>
      </c>
      <c r="B1048" s="56" t="s">
        <v>2334</v>
      </c>
      <c r="C1048" s="56" t="s">
        <v>108</v>
      </c>
      <c r="D1048" s="56" t="s">
        <v>2505</v>
      </c>
      <c r="E1048" s="74" t="s">
        <v>108</v>
      </c>
      <c r="F1048" s="56" t="s">
        <v>2220</v>
      </c>
      <c r="G1048" s="56" t="s">
        <v>2345</v>
      </c>
    </row>
    <row r="1049" spans="1:7">
      <c r="A1049" s="56" t="s">
        <v>2410</v>
      </c>
      <c r="B1049" s="56" t="s">
        <v>2236</v>
      </c>
      <c r="C1049" s="56" t="s">
        <v>2411</v>
      </c>
      <c r="D1049" s="56" t="s">
        <v>2505</v>
      </c>
      <c r="E1049" s="74" t="s">
        <v>2444</v>
      </c>
      <c r="F1049" s="56" t="s">
        <v>2217</v>
      </c>
      <c r="G1049" s="56" t="s">
        <v>2413</v>
      </c>
    </row>
    <row r="1050" spans="1:7">
      <c r="A1050" s="56" t="s">
        <v>2445</v>
      </c>
      <c r="B1050" s="56" t="s">
        <v>2236</v>
      </c>
      <c r="C1050" s="56" t="s">
        <v>549</v>
      </c>
      <c r="D1050" s="56" t="s">
        <v>2505</v>
      </c>
      <c r="E1050" s="74" t="s">
        <v>549</v>
      </c>
      <c r="F1050" s="56" t="s">
        <v>2099</v>
      </c>
      <c r="G1050" s="56" t="s">
        <v>2446</v>
      </c>
    </row>
    <row r="1051" spans="1:7">
      <c r="A1051" s="56" t="s">
        <v>2346</v>
      </c>
      <c r="B1051" s="56" t="s">
        <v>2347</v>
      </c>
      <c r="C1051" s="56" t="s">
        <v>108</v>
      </c>
      <c r="D1051" s="56" t="s">
        <v>2505</v>
      </c>
      <c r="E1051" s="74" t="s">
        <v>108</v>
      </c>
      <c r="F1051" s="56" t="s">
        <v>2220</v>
      </c>
      <c r="G1051" s="56" t="s">
        <v>2348</v>
      </c>
    </row>
    <row r="1052" spans="1:7">
      <c r="A1052" s="56" t="s">
        <v>2349</v>
      </c>
      <c r="B1052" s="56" t="s">
        <v>2350</v>
      </c>
      <c r="C1052" s="56" t="s">
        <v>108</v>
      </c>
      <c r="D1052" s="56" t="s">
        <v>2505</v>
      </c>
      <c r="E1052" s="74" t="s">
        <v>108</v>
      </c>
      <c r="F1052" s="56" t="s">
        <v>2220</v>
      </c>
      <c r="G1052" s="56" t="s">
        <v>2351</v>
      </c>
    </row>
    <row r="1053" spans="1:7">
      <c r="A1053" s="56" t="s">
        <v>2352</v>
      </c>
      <c r="B1053" s="56" t="s">
        <v>2353</v>
      </c>
      <c r="C1053" s="56" t="s">
        <v>2307</v>
      </c>
      <c r="D1053" s="56" t="s">
        <v>2505</v>
      </c>
      <c r="E1053" s="74" t="s">
        <v>2307</v>
      </c>
      <c r="F1053" s="56" t="s">
        <v>2220</v>
      </c>
      <c r="G1053" s="56" t="s">
        <v>2237</v>
      </c>
    </row>
    <row r="1054" spans="1:7">
      <c r="A1054" s="56" t="s">
        <v>2354</v>
      </c>
      <c r="B1054" s="56" t="s">
        <v>2353</v>
      </c>
      <c r="C1054" s="56" t="s">
        <v>2355</v>
      </c>
      <c r="D1054" s="56" t="s">
        <v>2505</v>
      </c>
      <c r="E1054" s="74" t="s">
        <v>108</v>
      </c>
      <c r="F1054" s="56" t="s">
        <v>2220</v>
      </c>
      <c r="G1054" s="56" t="s">
        <v>2237</v>
      </c>
    </row>
    <row r="1055" spans="1:7">
      <c r="A1055" s="56" t="s">
        <v>2447</v>
      </c>
      <c r="B1055" s="56" t="s">
        <v>2236</v>
      </c>
      <c r="C1055" s="56" t="s">
        <v>549</v>
      </c>
      <c r="D1055" s="56" t="s">
        <v>2505</v>
      </c>
      <c r="E1055" s="74" t="s">
        <v>549</v>
      </c>
      <c r="F1055" s="56" t="s">
        <v>2099</v>
      </c>
      <c r="G1055" s="56" t="s">
        <v>2448</v>
      </c>
    </row>
    <row r="1056" spans="1:7" ht="17.100000000000001">
      <c r="A1056" s="75" t="s">
        <v>2612</v>
      </c>
      <c r="B1056" s="75"/>
      <c r="C1056" s="75"/>
      <c r="D1056" s="75"/>
      <c r="E1056" s="76"/>
      <c r="F1056" s="75"/>
      <c r="G1056" s="75"/>
    </row>
    <row r="1057" spans="1:7">
      <c r="A1057" s="56" t="s">
        <v>2450</v>
      </c>
      <c r="B1057" s="56"/>
      <c r="C1057" s="56" t="s">
        <v>549</v>
      </c>
      <c r="D1057" s="56" t="s">
        <v>2505</v>
      </c>
      <c r="E1057" s="74" t="s">
        <v>549</v>
      </c>
      <c r="F1057" s="56" t="s">
        <v>2099</v>
      </c>
      <c r="G1057" s="56" t="s">
        <v>2237</v>
      </c>
    </row>
    <row r="1058" spans="1:7">
      <c r="A1058" s="56" t="s">
        <v>2357</v>
      </c>
      <c r="B1058" s="56" t="s">
        <v>2358</v>
      </c>
      <c r="C1058" s="56" t="s">
        <v>108</v>
      </c>
      <c r="D1058" s="56" t="s">
        <v>2505</v>
      </c>
      <c r="E1058" s="74" t="s">
        <v>108</v>
      </c>
      <c r="F1058" s="56" t="s">
        <v>2220</v>
      </c>
      <c r="G1058" s="56" t="s">
        <v>2237</v>
      </c>
    </row>
    <row r="1059" spans="1:7">
      <c r="A1059" s="56" t="s">
        <v>2359</v>
      </c>
      <c r="B1059" s="56" t="s">
        <v>2358</v>
      </c>
      <c r="C1059" s="56" t="s">
        <v>2307</v>
      </c>
      <c r="D1059" s="56" t="s">
        <v>2505</v>
      </c>
      <c r="E1059" s="74" t="s">
        <v>2307</v>
      </c>
      <c r="F1059" s="56" t="s">
        <v>2220</v>
      </c>
      <c r="G1059" s="56" t="s">
        <v>2360</v>
      </c>
    </row>
    <row r="1060" spans="1:7">
      <c r="A1060" s="56" t="s">
        <v>2361</v>
      </c>
      <c r="B1060" s="56" t="s">
        <v>2362</v>
      </c>
      <c r="C1060" s="56" t="s">
        <v>2363</v>
      </c>
      <c r="D1060" s="56" t="s">
        <v>2505</v>
      </c>
      <c r="E1060" s="74" t="s">
        <v>2451</v>
      </c>
      <c r="F1060" s="56" t="s">
        <v>2220</v>
      </c>
      <c r="G1060" s="56" t="s">
        <v>2365</v>
      </c>
    </row>
    <row r="1061" spans="1:7">
      <c r="A1061" s="56" t="s">
        <v>2366</v>
      </c>
      <c r="B1061" s="56" t="s">
        <v>2362</v>
      </c>
      <c r="C1061" s="56" t="s">
        <v>2265</v>
      </c>
      <c r="D1061" s="56" t="s">
        <v>2505</v>
      </c>
      <c r="E1061" s="74" t="s">
        <v>108</v>
      </c>
      <c r="F1061" s="56" t="s">
        <v>2220</v>
      </c>
      <c r="G1061" s="56" t="s">
        <v>2367</v>
      </c>
    </row>
    <row r="1062" spans="1:7">
      <c r="A1062" s="56" t="s">
        <v>2368</v>
      </c>
      <c r="B1062" s="56" t="s">
        <v>2358</v>
      </c>
      <c r="C1062" s="56" t="s">
        <v>2369</v>
      </c>
      <c r="D1062" s="56" t="s">
        <v>2505</v>
      </c>
      <c r="E1062" s="74" t="s">
        <v>108</v>
      </c>
      <c r="F1062" s="56" t="s">
        <v>2220</v>
      </c>
      <c r="G1062" s="56" t="s">
        <v>2237</v>
      </c>
    </row>
    <row r="1063" spans="1:7">
      <c r="A1063" s="56" t="s">
        <v>2370</v>
      </c>
      <c r="B1063" s="56" t="s">
        <v>2358</v>
      </c>
      <c r="C1063" s="56" t="s">
        <v>2371</v>
      </c>
      <c r="D1063" s="56" t="s">
        <v>2505</v>
      </c>
      <c r="E1063" s="74" t="s">
        <v>108</v>
      </c>
      <c r="F1063" s="56" t="s">
        <v>2220</v>
      </c>
      <c r="G1063" s="56" t="s">
        <v>2372</v>
      </c>
    </row>
    <row r="1064" spans="1:7" ht="17.100000000000001">
      <c r="A1064" s="75" t="s">
        <v>2613</v>
      </c>
      <c r="B1064" s="75"/>
      <c r="C1064" s="75"/>
      <c r="D1064" s="75"/>
      <c r="E1064" s="76"/>
      <c r="F1064" s="75"/>
      <c r="G1064" s="75"/>
    </row>
    <row r="1065" spans="1:7">
      <c r="A1065" s="56" t="s">
        <v>2374</v>
      </c>
      <c r="B1065" s="56" t="s">
        <v>2375</v>
      </c>
      <c r="C1065" s="56" t="s">
        <v>2376</v>
      </c>
      <c r="D1065" s="56" t="s">
        <v>2505</v>
      </c>
      <c r="E1065" s="74" t="s">
        <v>108</v>
      </c>
      <c r="F1065" s="56" t="s">
        <v>2220</v>
      </c>
      <c r="G1065" s="56" t="s">
        <v>2377</v>
      </c>
    </row>
    <row r="1066" spans="1:7">
      <c r="A1066" s="56" t="s">
        <v>2378</v>
      </c>
      <c r="B1066" s="56" t="s">
        <v>2379</v>
      </c>
      <c r="C1066" s="56" t="s">
        <v>2380</v>
      </c>
      <c r="D1066" s="56" t="s">
        <v>2505</v>
      </c>
      <c r="E1066" s="74" t="s">
        <v>108</v>
      </c>
      <c r="F1066" s="56" t="s">
        <v>2220</v>
      </c>
      <c r="G1066" s="56" t="s">
        <v>2381</v>
      </c>
    </row>
    <row r="1067" spans="1:7">
      <c r="A1067" s="56" t="s">
        <v>2382</v>
      </c>
      <c r="B1067" s="56"/>
      <c r="C1067" s="56" t="s">
        <v>2254</v>
      </c>
      <c r="D1067" s="56" t="s">
        <v>2505</v>
      </c>
      <c r="E1067" s="74" t="s">
        <v>2425</v>
      </c>
      <c r="F1067" s="56" t="s">
        <v>2217</v>
      </c>
      <c r="G1067" s="56" t="s">
        <v>2237</v>
      </c>
    </row>
    <row r="1068" spans="1:7">
      <c r="A1068" s="56" t="s">
        <v>2383</v>
      </c>
      <c r="B1068" s="56"/>
      <c r="C1068" s="56" t="s">
        <v>108</v>
      </c>
      <c r="D1068" s="56" t="s">
        <v>2505</v>
      </c>
      <c r="E1068" s="74" t="s">
        <v>108</v>
      </c>
      <c r="F1068" s="56" t="s">
        <v>2220</v>
      </c>
      <c r="G1068" s="56" t="s">
        <v>2237</v>
      </c>
    </row>
    <row r="1069" spans="1:7">
      <c r="A1069" s="56" t="s">
        <v>2384</v>
      </c>
      <c r="B1069" s="56" t="s">
        <v>2385</v>
      </c>
      <c r="C1069" s="56" t="s">
        <v>2386</v>
      </c>
      <c r="D1069" s="56" t="s">
        <v>2505</v>
      </c>
      <c r="E1069" s="74" t="s">
        <v>2386</v>
      </c>
      <c r="F1069" s="56" t="s">
        <v>2220</v>
      </c>
      <c r="G1069" s="56" t="s">
        <v>2387</v>
      </c>
    </row>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2223</v>
      </c>
      <c r="B3" s="59" t="s">
        <v>2224</v>
      </c>
      <c r="C3" s="59" t="s">
        <v>2225</v>
      </c>
      <c r="D3" s="59" t="s">
        <v>2226</v>
      </c>
      <c r="E3" s="59" t="s">
        <v>2227</v>
      </c>
      <c r="F3" s="59" t="s">
        <v>2228</v>
      </c>
      <c r="G3" s="59" t="s">
        <v>1452</v>
      </c>
    </row>
    <row r="4" spans="1:7" ht="17.100000000000001">
      <c r="A4" s="75" t="s">
        <v>2229</v>
      </c>
      <c r="B4" s="75"/>
      <c r="C4" s="75"/>
      <c r="D4" s="75"/>
      <c r="E4" s="76"/>
      <c r="F4" s="75"/>
      <c r="G4" s="75"/>
    </row>
    <row r="5" spans="1:7">
      <c r="A5" s="56" t="s">
        <v>2230</v>
      </c>
      <c r="B5" s="56" t="s">
        <v>2231</v>
      </c>
      <c r="C5" s="56" t="s">
        <v>1562</v>
      </c>
      <c r="D5" s="56" t="s">
        <v>2617</v>
      </c>
      <c r="E5" s="74" t="s">
        <v>108</v>
      </c>
      <c r="F5" s="74" t="s">
        <v>1899</v>
      </c>
      <c r="G5" s="56" t="s">
        <v>2618</v>
      </c>
    </row>
    <row r="6" spans="1:7">
      <c r="A6" s="56" t="s">
        <v>2235</v>
      </c>
      <c r="B6" s="56"/>
      <c r="C6" s="56" t="s">
        <v>1212</v>
      </c>
      <c r="D6" s="56" t="s">
        <v>2617</v>
      </c>
      <c r="E6" s="74" t="s">
        <v>1212</v>
      </c>
      <c r="F6" s="56" t="s">
        <v>1899</v>
      </c>
      <c r="G6" s="56" t="s">
        <v>2237</v>
      </c>
    </row>
    <row r="7" spans="1:7">
      <c r="A7" s="56" t="s">
        <v>2238</v>
      </c>
      <c r="B7" s="56"/>
      <c r="C7" s="56" t="s">
        <v>2239</v>
      </c>
      <c r="D7" s="56" t="s">
        <v>2617</v>
      </c>
      <c r="E7" s="74" t="s">
        <v>2239</v>
      </c>
      <c r="F7" s="74" t="s">
        <v>1899</v>
      </c>
      <c r="G7" s="56" t="s">
        <v>2237</v>
      </c>
    </row>
    <row r="8" spans="1:7">
      <c r="A8" s="56" t="s">
        <v>2240</v>
      </c>
      <c r="B8" s="56" t="s">
        <v>2241</v>
      </c>
      <c r="C8" s="56" t="s">
        <v>108</v>
      </c>
      <c r="D8" s="56" t="s">
        <v>2617</v>
      </c>
      <c r="E8" s="74" t="s">
        <v>108</v>
      </c>
      <c r="F8" s="74" t="s">
        <v>1899</v>
      </c>
      <c r="G8" s="56" t="s">
        <v>2237</v>
      </c>
    </row>
    <row r="9" spans="1:7">
      <c r="A9" s="56" t="s">
        <v>2242</v>
      </c>
      <c r="B9" s="56" t="s">
        <v>2243</v>
      </c>
      <c r="C9" s="56" t="s">
        <v>108</v>
      </c>
      <c r="D9" s="56" t="s">
        <v>2617</v>
      </c>
      <c r="E9" s="74" t="s">
        <v>108</v>
      </c>
      <c r="F9" s="74" t="s">
        <v>1899</v>
      </c>
      <c r="G9" s="56" t="s">
        <v>2244</v>
      </c>
    </row>
    <row r="10" spans="1:7">
      <c r="A10" s="56" t="s">
        <v>2245</v>
      </c>
      <c r="B10" s="56"/>
      <c r="C10" s="56" t="s">
        <v>108</v>
      </c>
      <c r="D10" s="56" t="s">
        <v>2617</v>
      </c>
      <c r="E10" s="74" t="s">
        <v>108</v>
      </c>
      <c r="F10" s="74" t="s">
        <v>1899</v>
      </c>
      <c r="G10" s="56" t="s">
        <v>2237</v>
      </c>
    </row>
    <row r="11" spans="1:7" ht="17.100000000000001">
      <c r="A11" s="75" t="s">
        <v>2246</v>
      </c>
      <c r="B11" s="75"/>
      <c r="C11" s="75"/>
      <c r="D11" s="75"/>
      <c r="E11" s="76"/>
      <c r="F11" s="75"/>
      <c r="G11" s="75"/>
    </row>
    <row r="12" spans="1:7">
      <c r="A12" s="56" t="s">
        <v>2247</v>
      </c>
      <c r="B12" s="56" t="s">
        <v>2248</v>
      </c>
      <c r="C12" s="56" t="s">
        <v>108</v>
      </c>
      <c r="D12" s="56" t="s">
        <v>2617</v>
      </c>
      <c r="E12" s="74" t="s">
        <v>108</v>
      </c>
      <c r="F12" s="74" t="s">
        <v>1899</v>
      </c>
      <c r="G12" s="56" t="s">
        <v>2237</v>
      </c>
    </row>
    <row r="13" spans="1:7">
      <c r="A13" s="56" t="s">
        <v>2249</v>
      </c>
      <c r="B13" s="56" t="s">
        <v>2250</v>
      </c>
      <c r="C13" s="56" t="s">
        <v>108</v>
      </c>
      <c r="D13" s="56" t="s">
        <v>2617</v>
      </c>
      <c r="E13" s="74" t="s">
        <v>108</v>
      </c>
      <c r="F13" s="74" t="s">
        <v>1899</v>
      </c>
      <c r="G13" s="56" t="s">
        <v>2251</v>
      </c>
    </row>
    <row r="14" spans="1:7">
      <c r="A14" s="56" t="s">
        <v>2252</v>
      </c>
      <c r="B14" s="56" t="s">
        <v>2250</v>
      </c>
      <c r="C14" s="56" t="s">
        <v>108</v>
      </c>
      <c r="D14" s="56" t="s">
        <v>2617</v>
      </c>
      <c r="E14" s="74" t="s">
        <v>108</v>
      </c>
      <c r="F14" s="74" t="s">
        <v>1899</v>
      </c>
      <c r="G14" s="56" t="s">
        <v>2237</v>
      </c>
    </row>
    <row r="15" spans="1:7">
      <c r="A15" s="56" t="s">
        <v>2256</v>
      </c>
      <c r="B15" s="56" t="s">
        <v>2257</v>
      </c>
      <c r="C15" s="56" t="s">
        <v>108</v>
      </c>
      <c r="D15" s="56" t="s">
        <v>2617</v>
      </c>
      <c r="E15" s="74" t="s">
        <v>108</v>
      </c>
      <c r="F15" s="74" t="s">
        <v>1899</v>
      </c>
      <c r="G15" s="56" t="s">
        <v>2258</v>
      </c>
    </row>
    <row r="16" spans="1:7" ht="17.100000000000001">
      <c r="A16" s="75" t="s">
        <v>2259</v>
      </c>
      <c r="B16" s="75"/>
      <c r="C16" s="75"/>
      <c r="D16" s="75"/>
      <c r="E16" s="76"/>
      <c r="F16" s="75"/>
      <c r="G16" s="75"/>
    </row>
    <row r="17" spans="1:7" ht="17.100000000000001">
      <c r="A17" s="276" t="s">
        <v>2260</v>
      </c>
      <c r="B17" s="276" t="s">
        <v>2261</v>
      </c>
      <c r="C17" s="276" t="s">
        <v>108</v>
      </c>
      <c r="D17" s="276" t="s">
        <v>2617</v>
      </c>
      <c r="E17" s="277" t="s">
        <v>108</v>
      </c>
      <c r="F17" s="276" t="s">
        <v>1899</v>
      </c>
      <c r="G17" s="276" t="s">
        <v>2237</v>
      </c>
    </row>
    <row r="18" spans="1:7">
      <c r="A18" s="56" t="s">
        <v>2262</v>
      </c>
      <c r="B18" s="56" t="s">
        <v>2261</v>
      </c>
      <c r="C18" s="56" t="s">
        <v>2263</v>
      </c>
      <c r="D18" s="56" t="s">
        <v>2617</v>
      </c>
      <c r="E18" s="74" t="s">
        <v>108</v>
      </c>
      <c r="F18" s="74" t="s">
        <v>1899</v>
      </c>
      <c r="G18" s="56" t="s">
        <v>2237</v>
      </c>
    </row>
    <row r="19" spans="1:7">
      <c r="A19" s="56" t="s">
        <v>2264</v>
      </c>
      <c r="B19" s="56" t="s">
        <v>2261</v>
      </c>
      <c r="C19" s="56" t="s">
        <v>2265</v>
      </c>
      <c r="D19" s="56" t="s">
        <v>2617</v>
      </c>
      <c r="E19" s="74" t="s">
        <v>108</v>
      </c>
      <c r="F19" s="74" t="s">
        <v>1899</v>
      </c>
      <c r="G19" s="56" t="s">
        <v>2266</v>
      </c>
    </row>
    <row r="20" spans="1:7">
      <c r="A20" s="56" t="s">
        <v>2267</v>
      </c>
      <c r="B20" s="56" t="s">
        <v>2261</v>
      </c>
      <c r="C20" s="56" t="s">
        <v>108</v>
      </c>
      <c r="D20" s="56" t="s">
        <v>2617</v>
      </c>
      <c r="E20" s="74" t="s">
        <v>108</v>
      </c>
      <c r="F20" s="74" t="s">
        <v>1899</v>
      </c>
      <c r="G20" s="56" t="s">
        <v>2237</v>
      </c>
    </row>
    <row r="21" spans="1:7" ht="17.100000000000001">
      <c r="A21" s="75" t="s">
        <v>2268</v>
      </c>
      <c r="B21" s="75"/>
      <c r="C21" s="75"/>
      <c r="D21" s="75"/>
      <c r="E21" s="76"/>
      <c r="F21" s="75"/>
      <c r="G21" s="75"/>
    </row>
    <row r="22" spans="1:7" ht="17.100000000000001">
      <c r="A22" s="276" t="s">
        <v>2269</v>
      </c>
      <c r="B22" s="276" t="s">
        <v>2270</v>
      </c>
      <c r="C22" s="276" t="s">
        <v>2271</v>
      </c>
      <c r="D22" s="276" t="s">
        <v>2617</v>
      </c>
      <c r="E22" s="277" t="s">
        <v>108</v>
      </c>
      <c r="F22" s="276" t="s">
        <v>1899</v>
      </c>
      <c r="G22" s="276" t="s">
        <v>2237</v>
      </c>
    </row>
    <row r="23" spans="1:7">
      <c r="A23" s="56" t="s">
        <v>2272</v>
      </c>
      <c r="B23" s="56" t="s">
        <v>2273</v>
      </c>
      <c r="C23" s="56" t="s">
        <v>108</v>
      </c>
      <c r="D23" s="56" t="s">
        <v>2617</v>
      </c>
      <c r="E23" s="74" t="s">
        <v>108</v>
      </c>
      <c r="F23" s="74" t="s">
        <v>1899</v>
      </c>
      <c r="G23" s="56" t="s">
        <v>2237</v>
      </c>
    </row>
    <row r="24" spans="1:7">
      <c r="A24" s="56" t="s">
        <v>2274</v>
      </c>
      <c r="B24" s="56" t="s">
        <v>2270</v>
      </c>
      <c r="C24" s="56" t="s">
        <v>2275</v>
      </c>
      <c r="D24" s="56" t="s">
        <v>2617</v>
      </c>
      <c r="E24" s="74" t="s">
        <v>108</v>
      </c>
      <c r="F24" s="74" t="s">
        <v>1899</v>
      </c>
      <c r="G24" s="56" t="s">
        <v>2237</v>
      </c>
    </row>
    <row r="25" spans="1:7">
      <c r="A25" s="56" t="s">
        <v>2276</v>
      </c>
      <c r="B25" s="56" t="s">
        <v>2273</v>
      </c>
      <c r="C25" s="56" t="s">
        <v>2277</v>
      </c>
      <c r="D25" s="56" t="s">
        <v>2617</v>
      </c>
      <c r="E25" s="74" t="s">
        <v>108</v>
      </c>
      <c r="F25" s="74" t="s">
        <v>1899</v>
      </c>
      <c r="G25" s="56" t="s">
        <v>2278</v>
      </c>
    </row>
    <row r="26" spans="1:7">
      <c r="A26" s="56" t="s">
        <v>2279</v>
      </c>
      <c r="B26" s="56" t="s">
        <v>2280</v>
      </c>
      <c r="C26" s="56" t="s">
        <v>108</v>
      </c>
      <c r="D26" s="56" t="s">
        <v>2617</v>
      </c>
      <c r="E26" s="74" t="s">
        <v>108</v>
      </c>
      <c r="F26" s="74" t="s">
        <v>1899</v>
      </c>
      <c r="G26" s="56" t="s">
        <v>2281</v>
      </c>
    </row>
    <row r="27" spans="1:7">
      <c r="A27" s="56" t="s">
        <v>2282</v>
      </c>
      <c r="B27" s="56" t="s">
        <v>2280</v>
      </c>
      <c r="C27" s="56" t="s">
        <v>108</v>
      </c>
      <c r="D27" s="56" t="s">
        <v>2617</v>
      </c>
      <c r="E27" s="74" t="s">
        <v>108</v>
      </c>
      <c r="F27" s="74" t="s">
        <v>1899</v>
      </c>
      <c r="G27" s="56" t="s">
        <v>2237</v>
      </c>
    </row>
    <row r="28" spans="1:7" ht="17.100000000000001">
      <c r="A28" s="75" t="s">
        <v>2283</v>
      </c>
      <c r="B28" s="75"/>
      <c r="C28" s="75"/>
      <c r="D28" s="75"/>
      <c r="E28" s="76"/>
      <c r="F28" s="75"/>
      <c r="G28" s="75"/>
    </row>
    <row r="29" spans="1:7" ht="17.100000000000001">
      <c r="A29" s="276" t="s">
        <v>2284</v>
      </c>
      <c r="B29" s="276" t="s">
        <v>2285</v>
      </c>
      <c r="C29" s="276" t="s">
        <v>108</v>
      </c>
      <c r="D29" s="276" t="s">
        <v>2617</v>
      </c>
      <c r="E29" s="277" t="s">
        <v>108</v>
      </c>
      <c r="F29" s="276" t="s">
        <v>1899</v>
      </c>
      <c r="G29" s="276" t="s">
        <v>2286</v>
      </c>
    </row>
    <row r="30" spans="1:7">
      <c r="A30" s="56" t="s">
        <v>2287</v>
      </c>
      <c r="B30" s="56" t="s">
        <v>2248</v>
      </c>
      <c r="C30" s="56" t="s">
        <v>2288</v>
      </c>
      <c r="D30" s="56" t="s">
        <v>2617</v>
      </c>
      <c r="E30" s="74" t="s">
        <v>2255</v>
      </c>
      <c r="F30" s="74" t="s">
        <v>1899</v>
      </c>
      <c r="G30" s="56" t="s">
        <v>2237</v>
      </c>
    </row>
    <row r="31" spans="1:7">
      <c r="A31" s="56" t="s">
        <v>2289</v>
      </c>
      <c r="B31" s="56" t="s">
        <v>2248</v>
      </c>
      <c r="C31" s="56" t="s">
        <v>2254</v>
      </c>
      <c r="D31" s="56" t="s">
        <v>2617</v>
      </c>
      <c r="E31" s="74" t="s">
        <v>2255</v>
      </c>
      <c r="F31" s="74" t="s">
        <v>1899</v>
      </c>
      <c r="G31" s="56" t="s">
        <v>2237</v>
      </c>
    </row>
    <row r="32" spans="1:7">
      <c r="A32" s="56" t="s">
        <v>2290</v>
      </c>
      <c r="B32" s="56" t="s">
        <v>2248</v>
      </c>
      <c r="C32" s="56" t="s">
        <v>2254</v>
      </c>
      <c r="D32" s="56" t="s">
        <v>2617</v>
      </c>
      <c r="E32" s="74" t="s">
        <v>2255</v>
      </c>
      <c r="F32" s="74" t="s">
        <v>1899</v>
      </c>
      <c r="G32" s="56" t="s">
        <v>2237</v>
      </c>
    </row>
    <row r="33" spans="1:7">
      <c r="A33" s="56" t="s">
        <v>2291</v>
      </c>
      <c r="B33" s="56" t="s">
        <v>2292</v>
      </c>
      <c r="C33" s="56" t="s">
        <v>2254</v>
      </c>
      <c r="D33" s="56" t="s">
        <v>2617</v>
      </c>
      <c r="E33" s="74" t="s">
        <v>2255</v>
      </c>
      <c r="F33" s="74" t="s">
        <v>1899</v>
      </c>
      <c r="G33" s="56" t="s">
        <v>2237</v>
      </c>
    </row>
    <row r="34" spans="1:7">
      <c r="A34" s="56" t="s">
        <v>2293</v>
      </c>
      <c r="B34" s="56"/>
      <c r="C34" s="56" t="s">
        <v>2254</v>
      </c>
      <c r="D34" s="56" t="s">
        <v>2617</v>
      </c>
      <c r="E34" s="74" t="s">
        <v>2255</v>
      </c>
      <c r="F34" s="74" t="s">
        <v>1899</v>
      </c>
      <c r="G34" s="56" t="s">
        <v>2237</v>
      </c>
    </row>
    <row r="35" spans="1:7">
      <c r="A35" s="56" t="s">
        <v>2294</v>
      </c>
      <c r="B35" s="56"/>
      <c r="C35" s="56" t="s">
        <v>2254</v>
      </c>
      <c r="D35" s="56" t="s">
        <v>2617</v>
      </c>
      <c r="E35" s="74" t="s">
        <v>2255</v>
      </c>
      <c r="F35" s="74" t="s">
        <v>1899</v>
      </c>
      <c r="G35" s="56" t="s">
        <v>2237</v>
      </c>
    </row>
    <row r="36" spans="1:7">
      <c r="A36" s="56" t="s">
        <v>2295</v>
      </c>
      <c r="B36" s="56"/>
      <c r="C36" s="56" t="s">
        <v>2254</v>
      </c>
      <c r="D36" s="56" t="s">
        <v>2617</v>
      </c>
      <c r="E36" s="74" t="s">
        <v>2255</v>
      </c>
      <c r="F36" s="74" t="s">
        <v>1899</v>
      </c>
      <c r="G36" s="56" t="s">
        <v>2237</v>
      </c>
    </row>
    <row r="37" spans="1:7" ht="17.100000000000001">
      <c r="A37" s="75" t="s">
        <v>2296</v>
      </c>
      <c r="B37" s="75"/>
      <c r="C37" s="75"/>
      <c r="D37" s="75"/>
      <c r="E37" s="76"/>
      <c r="F37" s="75"/>
      <c r="G37" s="75"/>
    </row>
    <row r="38" spans="1:7" ht="17.100000000000001">
      <c r="A38" s="276" t="s">
        <v>2297</v>
      </c>
      <c r="B38" s="276" t="s">
        <v>2298</v>
      </c>
      <c r="C38" s="276" t="s">
        <v>108</v>
      </c>
      <c r="D38" s="276" t="s">
        <v>2617</v>
      </c>
      <c r="E38" s="277" t="s">
        <v>108</v>
      </c>
      <c r="F38" s="276" t="s">
        <v>1899</v>
      </c>
      <c r="G38" s="276" t="s">
        <v>2237</v>
      </c>
    </row>
    <row r="39" spans="1:7">
      <c r="A39" s="56" t="s">
        <v>2299</v>
      </c>
      <c r="B39" s="56" t="s">
        <v>2298</v>
      </c>
      <c r="C39" s="56" t="s">
        <v>2300</v>
      </c>
      <c r="D39" s="56" t="s">
        <v>2617</v>
      </c>
      <c r="E39" s="74" t="s">
        <v>108</v>
      </c>
      <c r="F39" s="74" t="s">
        <v>1899</v>
      </c>
      <c r="G39" s="56" t="s">
        <v>2301</v>
      </c>
    </row>
    <row r="40" spans="1:7">
      <c r="A40" s="56" t="s">
        <v>2302</v>
      </c>
      <c r="B40" s="56"/>
      <c r="C40" s="56" t="s">
        <v>2303</v>
      </c>
      <c r="D40" s="56" t="s">
        <v>2617</v>
      </c>
      <c r="E40" s="74" t="s">
        <v>108</v>
      </c>
      <c r="F40" s="74" t="s">
        <v>1899</v>
      </c>
      <c r="G40" s="56" t="s">
        <v>2237</v>
      </c>
    </row>
    <row r="41" spans="1:7">
      <c r="A41" s="56" t="s">
        <v>2304</v>
      </c>
      <c r="B41" s="56"/>
      <c r="C41" s="56" t="s">
        <v>2254</v>
      </c>
      <c r="D41" s="56" t="s">
        <v>2617</v>
      </c>
      <c r="E41" s="74" t="s">
        <v>2255</v>
      </c>
      <c r="F41" s="74" t="s">
        <v>1899</v>
      </c>
      <c r="G41" s="56" t="s">
        <v>2237</v>
      </c>
    </row>
    <row r="42" spans="1:7">
      <c r="A42" s="56" t="s">
        <v>2305</v>
      </c>
      <c r="B42" s="56"/>
      <c r="C42" s="56" t="s">
        <v>2254</v>
      </c>
      <c r="D42" s="56" t="s">
        <v>2617</v>
      </c>
      <c r="E42" s="74" t="s">
        <v>2255</v>
      </c>
      <c r="F42" s="74" t="s">
        <v>1899</v>
      </c>
      <c r="G42" s="56" t="s">
        <v>2237</v>
      </c>
    </row>
    <row r="43" spans="1:7">
      <c r="A43" s="56" t="s">
        <v>2306</v>
      </c>
      <c r="B43" s="56" t="s">
        <v>2298</v>
      </c>
      <c r="C43" s="56" t="s">
        <v>2307</v>
      </c>
      <c r="D43" s="56" t="s">
        <v>2617</v>
      </c>
      <c r="E43" s="74" t="s">
        <v>2307</v>
      </c>
      <c r="F43" s="74" t="s">
        <v>1899</v>
      </c>
      <c r="G43" s="56" t="s">
        <v>2237</v>
      </c>
    </row>
    <row r="44" spans="1:7">
      <c r="A44" s="56" t="s">
        <v>2308</v>
      </c>
      <c r="B44" s="56" t="s">
        <v>2309</v>
      </c>
      <c r="C44" s="56" t="s">
        <v>108</v>
      </c>
      <c r="D44" s="56" t="s">
        <v>2617</v>
      </c>
      <c r="E44" s="74" t="s">
        <v>108</v>
      </c>
      <c r="F44" s="74" t="s">
        <v>1899</v>
      </c>
      <c r="G44" s="56" t="s">
        <v>2237</v>
      </c>
    </row>
    <row r="45" spans="1:7" ht="17.100000000000001">
      <c r="A45" s="75" t="s">
        <v>2310</v>
      </c>
      <c r="B45" s="75"/>
      <c r="C45" s="75"/>
      <c r="D45" s="75"/>
      <c r="E45" s="76"/>
      <c r="F45" s="75"/>
      <c r="G45" s="75"/>
    </row>
    <row r="46" spans="1:7" ht="17.100000000000001">
      <c r="A46" s="276" t="s">
        <v>2311</v>
      </c>
      <c r="B46" s="276"/>
      <c r="C46" s="276" t="s">
        <v>2307</v>
      </c>
      <c r="D46" s="276" t="s">
        <v>2617</v>
      </c>
      <c r="E46" s="277" t="s">
        <v>2307</v>
      </c>
      <c r="F46" s="276" t="s">
        <v>1899</v>
      </c>
      <c r="G46" s="276" t="s">
        <v>2237</v>
      </c>
    </row>
    <row r="47" spans="1:7">
      <c r="A47" s="56" t="s">
        <v>2312</v>
      </c>
      <c r="B47" s="56"/>
      <c r="C47" s="56" t="s">
        <v>2313</v>
      </c>
      <c r="D47" s="56" t="s">
        <v>2617</v>
      </c>
      <c r="E47" s="74" t="s">
        <v>2307</v>
      </c>
      <c r="F47" s="74" t="s">
        <v>1899</v>
      </c>
      <c r="G47" s="56" t="s">
        <v>2237</v>
      </c>
    </row>
    <row r="48" spans="1:7" ht="17.100000000000001">
      <c r="A48" s="276" t="s">
        <v>2314</v>
      </c>
      <c r="B48" s="276" t="s">
        <v>2298</v>
      </c>
      <c r="C48" s="276" t="s">
        <v>108</v>
      </c>
      <c r="D48" s="276" t="s">
        <v>2617</v>
      </c>
      <c r="E48" s="277" t="s">
        <v>108</v>
      </c>
      <c r="F48" s="276" t="s">
        <v>1899</v>
      </c>
      <c r="G48" s="276" t="s">
        <v>2237</v>
      </c>
    </row>
    <row r="49" spans="1:7">
      <c r="A49" s="56" t="s">
        <v>2315</v>
      </c>
      <c r="B49" s="56" t="s">
        <v>2298</v>
      </c>
      <c r="C49" s="56" t="s">
        <v>108</v>
      </c>
      <c r="D49" s="56" t="s">
        <v>2617</v>
      </c>
      <c r="E49" s="74" t="s">
        <v>108</v>
      </c>
      <c r="F49" s="74" t="s">
        <v>1899</v>
      </c>
      <c r="G49" s="56" t="s">
        <v>2237</v>
      </c>
    </row>
    <row r="50" spans="1:7">
      <c r="A50" s="56" t="s">
        <v>2316</v>
      </c>
      <c r="B50" s="56" t="s">
        <v>2292</v>
      </c>
      <c r="C50" s="56" t="s">
        <v>108</v>
      </c>
      <c r="D50" s="56" t="s">
        <v>2617</v>
      </c>
      <c r="E50" s="74" t="s">
        <v>108</v>
      </c>
      <c r="F50" s="74" t="s">
        <v>1899</v>
      </c>
      <c r="G50" s="56" t="s">
        <v>2237</v>
      </c>
    </row>
    <row r="51" spans="1:7">
      <c r="A51" s="56" t="s">
        <v>2317</v>
      </c>
      <c r="B51" s="56" t="s">
        <v>2318</v>
      </c>
      <c r="C51" s="56" t="s">
        <v>2307</v>
      </c>
      <c r="D51" s="56" t="s">
        <v>2617</v>
      </c>
      <c r="E51" s="74" t="s">
        <v>2307</v>
      </c>
      <c r="F51" s="74" t="s">
        <v>1899</v>
      </c>
      <c r="G51" s="56" t="s">
        <v>2237</v>
      </c>
    </row>
    <row r="52" spans="1:7">
      <c r="A52" s="56" t="s">
        <v>2319</v>
      </c>
      <c r="B52" s="56" t="s">
        <v>2318</v>
      </c>
      <c r="C52" s="56" t="s">
        <v>2307</v>
      </c>
      <c r="D52" s="56" t="s">
        <v>2617</v>
      </c>
      <c r="E52" s="74" t="s">
        <v>2307</v>
      </c>
      <c r="F52" s="74" t="s">
        <v>1899</v>
      </c>
      <c r="G52" s="56" t="s">
        <v>2237</v>
      </c>
    </row>
    <row r="53" spans="1:7">
      <c r="A53" s="56" t="s">
        <v>2320</v>
      </c>
      <c r="B53" s="56"/>
      <c r="C53" s="56" t="s">
        <v>2254</v>
      </c>
      <c r="D53" s="56" t="s">
        <v>2617</v>
      </c>
      <c r="E53" s="74" t="s">
        <v>2255</v>
      </c>
      <c r="F53" s="74" t="s">
        <v>1899</v>
      </c>
      <c r="G53" s="56" t="s">
        <v>2237</v>
      </c>
    </row>
    <row r="54" spans="1:7">
      <c r="A54" s="56" t="s">
        <v>2321</v>
      </c>
      <c r="B54" s="56" t="s">
        <v>2318</v>
      </c>
      <c r="C54" s="56" t="s">
        <v>108</v>
      </c>
      <c r="D54" s="56" t="s">
        <v>2617</v>
      </c>
      <c r="E54" s="74" t="s">
        <v>108</v>
      </c>
      <c r="F54" s="74" t="s">
        <v>1899</v>
      </c>
      <c r="G54" s="56" t="s">
        <v>2322</v>
      </c>
    </row>
    <row r="55" spans="1:7" ht="17.100000000000001">
      <c r="A55" s="75" t="s">
        <v>2323</v>
      </c>
      <c r="B55" s="75"/>
      <c r="C55" s="75"/>
      <c r="D55" s="75"/>
      <c r="E55" s="76"/>
      <c r="F55" s="75"/>
      <c r="G55" s="75"/>
    </row>
    <row r="56" spans="1:7" ht="17.100000000000001">
      <c r="A56" s="276" t="s">
        <v>2324</v>
      </c>
      <c r="B56" s="276" t="s">
        <v>2325</v>
      </c>
      <c r="C56" s="276" t="s">
        <v>108</v>
      </c>
      <c r="D56" s="276" t="s">
        <v>2617</v>
      </c>
      <c r="E56" s="277" t="s">
        <v>108</v>
      </c>
      <c r="F56" s="276" t="s">
        <v>1899</v>
      </c>
      <c r="G56" s="276" t="s">
        <v>2237</v>
      </c>
    </row>
    <row r="57" spans="1:7">
      <c r="A57" s="56" t="s">
        <v>2326</v>
      </c>
      <c r="B57" s="56" t="s">
        <v>2327</v>
      </c>
      <c r="C57" s="56" t="s">
        <v>108</v>
      </c>
      <c r="D57" s="56" t="s">
        <v>2617</v>
      </c>
      <c r="E57" s="74" t="s">
        <v>108</v>
      </c>
      <c r="F57" s="74" t="s">
        <v>1899</v>
      </c>
      <c r="G57" s="56" t="s">
        <v>2237</v>
      </c>
    </row>
    <row r="58" spans="1:7">
      <c r="A58" s="56" t="s">
        <v>2328</v>
      </c>
      <c r="B58" s="56" t="s">
        <v>2327</v>
      </c>
      <c r="C58" s="56" t="s">
        <v>108</v>
      </c>
      <c r="D58" s="56" t="s">
        <v>2617</v>
      </c>
      <c r="E58" s="74" t="s">
        <v>108</v>
      </c>
      <c r="F58" s="74" t="s">
        <v>1899</v>
      </c>
      <c r="G58" s="56" t="s">
        <v>2237</v>
      </c>
    </row>
    <row r="59" spans="1:7" ht="17.100000000000001">
      <c r="A59" s="75" t="s">
        <v>2329</v>
      </c>
      <c r="B59" s="75"/>
      <c r="C59" s="75"/>
      <c r="D59" s="75"/>
      <c r="E59" s="76"/>
      <c r="F59" s="75"/>
      <c r="G59" s="75"/>
    </row>
    <row r="60" spans="1:7" ht="17.100000000000001">
      <c r="A60" s="276" t="s">
        <v>2330</v>
      </c>
      <c r="B60" s="276" t="s">
        <v>2331</v>
      </c>
      <c r="C60" s="276" t="s">
        <v>2307</v>
      </c>
      <c r="D60" s="276" t="s">
        <v>2617</v>
      </c>
      <c r="E60" s="277" t="s">
        <v>2307</v>
      </c>
      <c r="F60" s="276" t="s">
        <v>1899</v>
      </c>
      <c r="G60" s="276" t="s">
        <v>2332</v>
      </c>
    </row>
    <row r="61" spans="1:7">
      <c r="A61" s="56" t="s">
        <v>2333</v>
      </c>
      <c r="B61" s="56" t="s">
        <v>2334</v>
      </c>
      <c r="C61" s="56" t="s">
        <v>108</v>
      </c>
      <c r="D61" s="56" t="s">
        <v>2617</v>
      </c>
      <c r="E61" s="74" t="s">
        <v>108</v>
      </c>
      <c r="F61" s="74" t="s">
        <v>1899</v>
      </c>
      <c r="G61" s="56" t="s">
        <v>2335</v>
      </c>
    </row>
    <row r="62" spans="1:7">
      <c r="A62" s="56" t="s">
        <v>2336</v>
      </c>
      <c r="B62" s="56" t="s">
        <v>2337</v>
      </c>
      <c r="C62" s="56" t="s">
        <v>108</v>
      </c>
      <c r="D62" s="56" t="s">
        <v>2617</v>
      </c>
      <c r="E62" s="74" t="s">
        <v>108</v>
      </c>
      <c r="F62" s="74" t="s">
        <v>1899</v>
      </c>
      <c r="G62" s="56" t="s">
        <v>2338</v>
      </c>
    </row>
    <row r="63" spans="1:7" ht="17.100000000000001">
      <c r="A63" s="276" t="s">
        <v>2339</v>
      </c>
      <c r="B63" s="276" t="s">
        <v>2340</v>
      </c>
      <c r="C63" s="276" t="s">
        <v>108</v>
      </c>
      <c r="D63" s="276" t="s">
        <v>2617</v>
      </c>
      <c r="E63" s="277" t="s">
        <v>108</v>
      </c>
      <c r="F63" s="276" t="s">
        <v>1899</v>
      </c>
      <c r="G63" s="276" t="s">
        <v>2341</v>
      </c>
    </row>
    <row r="64" spans="1:7">
      <c r="A64" s="56" t="s">
        <v>2342</v>
      </c>
      <c r="B64" s="56"/>
      <c r="C64" s="56" t="s">
        <v>2254</v>
      </c>
      <c r="D64" s="56" t="s">
        <v>2617</v>
      </c>
      <c r="E64" s="74" t="s">
        <v>2255</v>
      </c>
      <c r="F64" s="74" t="s">
        <v>1899</v>
      </c>
      <c r="G64" s="56" t="s">
        <v>2237</v>
      </c>
    </row>
    <row r="65" spans="1:7" ht="17.100000000000001">
      <c r="A65" s="75" t="s">
        <v>2343</v>
      </c>
      <c r="B65" s="75"/>
      <c r="C65" s="75"/>
      <c r="D65" s="75"/>
      <c r="E65" s="76"/>
      <c r="F65" s="75"/>
      <c r="G65" s="75"/>
    </row>
    <row r="66" spans="1:7" ht="17.100000000000001">
      <c r="A66" s="276" t="s">
        <v>2344</v>
      </c>
      <c r="B66" s="276" t="s">
        <v>2334</v>
      </c>
      <c r="C66" s="276" t="s">
        <v>108</v>
      </c>
      <c r="D66" s="276" t="s">
        <v>2617</v>
      </c>
      <c r="E66" s="277" t="s">
        <v>108</v>
      </c>
      <c r="F66" s="276" t="s">
        <v>1899</v>
      </c>
      <c r="G66" s="276" t="s">
        <v>2345</v>
      </c>
    </row>
    <row r="67" spans="1:7">
      <c r="A67" s="56" t="s">
        <v>2346</v>
      </c>
      <c r="B67" s="56" t="s">
        <v>2347</v>
      </c>
      <c r="C67" s="56" t="s">
        <v>108</v>
      </c>
      <c r="D67" s="56" t="s">
        <v>2617</v>
      </c>
      <c r="E67" s="74" t="s">
        <v>108</v>
      </c>
      <c r="F67" s="74" t="s">
        <v>1899</v>
      </c>
      <c r="G67" s="56" t="s">
        <v>2348</v>
      </c>
    </row>
    <row r="68" spans="1:7">
      <c r="A68" s="56" t="s">
        <v>2349</v>
      </c>
      <c r="B68" s="56" t="s">
        <v>2350</v>
      </c>
      <c r="C68" s="56" t="s">
        <v>108</v>
      </c>
      <c r="D68" s="56" t="s">
        <v>2617</v>
      </c>
      <c r="E68" s="74" t="s">
        <v>108</v>
      </c>
      <c r="F68" s="74" t="s">
        <v>1899</v>
      </c>
      <c r="G68" s="56" t="s">
        <v>2351</v>
      </c>
    </row>
    <row r="69" spans="1:7" ht="17.100000000000001">
      <c r="A69" s="276" t="s">
        <v>2352</v>
      </c>
      <c r="B69" s="276" t="s">
        <v>2353</v>
      </c>
      <c r="C69" s="276" t="s">
        <v>2307</v>
      </c>
      <c r="D69" s="276" t="s">
        <v>2617</v>
      </c>
      <c r="E69" s="277" t="s">
        <v>2307</v>
      </c>
      <c r="F69" s="276" t="s">
        <v>1899</v>
      </c>
      <c r="G69" s="276" t="s">
        <v>2237</v>
      </c>
    </row>
    <row r="70" spans="1:7">
      <c r="A70" s="56" t="s">
        <v>2354</v>
      </c>
      <c r="B70" s="56" t="s">
        <v>2353</v>
      </c>
      <c r="C70" s="56" t="s">
        <v>2355</v>
      </c>
      <c r="D70" s="56" t="s">
        <v>2617</v>
      </c>
      <c r="E70" s="74" t="s">
        <v>108</v>
      </c>
      <c r="F70" s="74" t="s">
        <v>1899</v>
      </c>
      <c r="G70" s="56" t="s">
        <v>2237</v>
      </c>
    </row>
    <row r="71" spans="1:7" ht="17.100000000000001">
      <c r="A71" s="75" t="s">
        <v>2356</v>
      </c>
      <c r="B71" s="75"/>
      <c r="C71" s="75"/>
      <c r="D71" s="75"/>
      <c r="E71" s="76"/>
      <c r="F71" s="75"/>
      <c r="G71" s="75"/>
    </row>
    <row r="72" spans="1:7" ht="17.100000000000001">
      <c r="A72" s="276" t="s">
        <v>2357</v>
      </c>
      <c r="B72" s="276" t="s">
        <v>2358</v>
      </c>
      <c r="C72" s="276" t="s">
        <v>108</v>
      </c>
      <c r="D72" s="276" t="s">
        <v>2617</v>
      </c>
      <c r="E72" s="277" t="s">
        <v>108</v>
      </c>
      <c r="F72" s="276" t="s">
        <v>1899</v>
      </c>
      <c r="G72" s="276" t="s">
        <v>2237</v>
      </c>
    </row>
    <row r="73" spans="1:7">
      <c r="A73" s="56" t="s">
        <v>2359</v>
      </c>
      <c r="B73" s="56" t="s">
        <v>2358</v>
      </c>
      <c r="C73" s="56" t="s">
        <v>2307</v>
      </c>
      <c r="D73" s="56" t="s">
        <v>2617</v>
      </c>
      <c r="E73" s="74" t="s">
        <v>2307</v>
      </c>
      <c r="F73" s="74" t="s">
        <v>1899</v>
      </c>
      <c r="G73" s="56" t="s">
        <v>2360</v>
      </c>
    </row>
    <row r="74" spans="1:7">
      <c r="A74" s="56" t="s">
        <v>2619</v>
      </c>
      <c r="B74" s="56" t="s">
        <v>2620</v>
      </c>
      <c r="C74" s="56" t="s">
        <v>2621</v>
      </c>
      <c r="D74" s="56" t="s">
        <v>2617</v>
      </c>
      <c r="E74" s="74" t="s">
        <v>108</v>
      </c>
      <c r="F74" s="74" t="s">
        <v>1899</v>
      </c>
      <c r="G74" s="56" t="s">
        <v>2237</v>
      </c>
    </row>
    <row r="75" spans="1:7" ht="17.100000000000001">
      <c r="A75" s="276" t="s">
        <v>2361</v>
      </c>
      <c r="B75" s="276" t="s">
        <v>2362</v>
      </c>
      <c r="C75" s="276" t="s">
        <v>2363</v>
      </c>
      <c r="D75" s="276" t="s">
        <v>2617</v>
      </c>
      <c r="E75" s="277" t="s">
        <v>2364</v>
      </c>
      <c r="F75" s="276" t="s">
        <v>1899</v>
      </c>
      <c r="G75" s="276" t="s">
        <v>2365</v>
      </c>
    </row>
    <row r="76" spans="1:7">
      <c r="A76" s="56" t="s">
        <v>2366</v>
      </c>
      <c r="B76" s="56" t="s">
        <v>2362</v>
      </c>
      <c r="C76" s="56" t="s">
        <v>2265</v>
      </c>
      <c r="D76" s="56" t="s">
        <v>2617</v>
      </c>
      <c r="E76" s="74" t="s">
        <v>108</v>
      </c>
      <c r="F76" s="74" t="s">
        <v>1899</v>
      </c>
      <c r="G76" s="56" t="s">
        <v>2367</v>
      </c>
    </row>
    <row r="77" spans="1:7">
      <c r="A77" s="56" t="s">
        <v>2368</v>
      </c>
      <c r="B77" s="56" t="s">
        <v>2358</v>
      </c>
      <c r="C77" s="56" t="s">
        <v>2369</v>
      </c>
      <c r="D77" s="56" t="s">
        <v>2617</v>
      </c>
      <c r="E77" s="74" t="s">
        <v>108</v>
      </c>
      <c r="F77" s="74" t="s">
        <v>1899</v>
      </c>
      <c r="G77" s="56" t="s">
        <v>2237</v>
      </c>
    </row>
    <row r="78" spans="1:7">
      <c r="A78" s="56" t="s">
        <v>2370</v>
      </c>
      <c r="B78" s="56" t="s">
        <v>2358</v>
      </c>
      <c r="C78" s="56" t="s">
        <v>2371</v>
      </c>
      <c r="D78" s="56" t="s">
        <v>2617</v>
      </c>
      <c r="E78" s="74" t="s">
        <v>108</v>
      </c>
      <c r="F78" s="74" t="s">
        <v>1899</v>
      </c>
      <c r="G78" s="56" t="s">
        <v>2372</v>
      </c>
    </row>
    <row r="79" spans="1:7" ht="17.100000000000001">
      <c r="A79" s="276" t="s">
        <v>2622</v>
      </c>
      <c r="B79" s="276" t="s">
        <v>2358</v>
      </c>
      <c r="C79" s="276" t="s">
        <v>2623</v>
      </c>
      <c r="D79" s="276" t="s">
        <v>2617</v>
      </c>
      <c r="E79" s="277" t="s">
        <v>108</v>
      </c>
      <c r="F79" s="276" t="s">
        <v>1899</v>
      </c>
      <c r="G79" s="276" t="s">
        <v>2237</v>
      </c>
    </row>
    <row r="80" spans="1:7" ht="17.100000000000001">
      <c r="A80" s="75" t="s">
        <v>2373</v>
      </c>
      <c r="B80" s="75"/>
      <c r="C80" s="75"/>
      <c r="D80" s="75"/>
      <c r="E80" s="76"/>
      <c r="F80" s="75"/>
      <c r="G80" s="75"/>
    </row>
    <row r="81" spans="1:7" ht="17.100000000000001">
      <c r="A81" s="276" t="s">
        <v>2374</v>
      </c>
      <c r="B81" s="276" t="s">
        <v>2375</v>
      </c>
      <c r="C81" s="276" t="s">
        <v>2376</v>
      </c>
      <c r="D81" s="276" t="s">
        <v>2617</v>
      </c>
      <c r="E81" s="277" t="s">
        <v>108</v>
      </c>
      <c r="F81" s="276" t="s">
        <v>1899</v>
      </c>
      <c r="G81" s="276" t="s">
        <v>2377</v>
      </c>
    </row>
    <row r="82" spans="1:7">
      <c r="A82" s="56" t="s">
        <v>2378</v>
      </c>
      <c r="B82" s="56" t="s">
        <v>2379</v>
      </c>
      <c r="C82" s="56" t="s">
        <v>2380</v>
      </c>
      <c r="D82" s="56" t="s">
        <v>2617</v>
      </c>
      <c r="E82" s="74" t="s">
        <v>108</v>
      </c>
      <c r="F82" s="74" t="s">
        <v>1899</v>
      </c>
      <c r="G82" s="56" t="s">
        <v>2381</v>
      </c>
    </row>
    <row r="83" spans="1:7">
      <c r="A83" s="56" t="s">
        <v>2382</v>
      </c>
      <c r="B83" s="56"/>
      <c r="C83" s="56" t="s">
        <v>2254</v>
      </c>
      <c r="D83" s="56" t="s">
        <v>2617</v>
      </c>
      <c r="E83" s="74" t="s">
        <v>2255</v>
      </c>
      <c r="F83" s="74" t="s">
        <v>1899</v>
      </c>
      <c r="G83" s="56" t="s">
        <v>2237</v>
      </c>
    </row>
    <row r="84" spans="1:7" ht="17.100000000000001">
      <c r="A84" s="276" t="s">
        <v>2383</v>
      </c>
      <c r="B84" s="276"/>
      <c r="C84" s="276" t="s">
        <v>108</v>
      </c>
      <c r="D84" s="276" t="s">
        <v>2617</v>
      </c>
      <c r="E84" s="277" t="s">
        <v>108</v>
      </c>
      <c r="F84" s="276" t="s">
        <v>1899</v>
      </c>
      <c r="G84" s="276" t="s">
        <v>2237</v>
      </c>
    </row>
    <row r="85" spans="1:7">
      <c r="A85" s="56" t="s">
        <v>2384</v>
      </c>
      <c r="B85" s="56" t="s">
        <v>2385</v>
      </c>
      <c r="C85" s="56" t="s">
        <v>2386</v>
      </c>
      <c r="D85" s="56" t="s">
        <v>2617</v>
      </c>
      <c r="E85" s="74" t="s">
        <v>2386</v>
      </c>
      <c r="F85" s="74" t="s">
        <v>1899</v>
      </c>
      <c r="G85" s="56" t="s">
        <v>2387</v>
      </c>
    </row>
    <row r="86" spans="1:7" ht="17.100000000000001">
      <c r="A86" s="75" t="s">
        <v>2471</v>
      </c>
      <c r="B86" s="75"/>
      <c r="C86" s="75"/>
      <c r="D86" s="75"/>
      <c r="E86" s="76"/>
      <c r="F86" s="75"/>
      <c r="G86" s="75"/>
    </row>
    <row r="87" spans="1:7" ht="17.100000000000001">
      <c r="A87" s="272" t="s">
        <v>2262</v>
      </c>
      <c r="B87" s="272" t="s">
        <v>2261</v>
      </c>
      <c r="C87" s="272" t="s">
        <v>2263</v>
      </c>
      <c r="D87" s="272" t="s">
        <v>2624</v>
      </c>
      <c r="E87" s="273" t="s">
        <v>2625</v>
      </c>
      <c r="F87" s="273" t="s">
        <v>2423</v>
      </c>
      <c r="G87" s="272" t="s">
        <v>2237</v>
      </c>
    </row>
    <row r="88" spans="1:7" ht="17.100000000000001">
      <c r="A88" s="75" t="s">
        <v>2484</v>
      </c>
      <c r="B88" s="75"/>
      <c r="C88" s="75"/>
      <c r="D88" s="75"/>
      <c r="E88" s="76"/>
      <c r="F88" s="75"/>
      <c r="G88" s="75"/>
    </row>
    <row r="89" spans="1:7" ht="17.100000000000001">
      <c r="A89" s="272" t="s">
        <v>2230</v>
      </c>
      <c r="B89" s="272" t="s">
        <v>2231</v>
      </c>
      <c r="C89" s="272" t="s">
        <v>1562</v>
      </c>
      <c r="D89" s="272" t="s">
        <v>2626</v>
      </c>
      <c r="E89" s="273" t="s">
        <v>108</v>
      </c>
      <c r="F89" s="273" t="s">
        <v>2423</v>
      </c>
      <c r="G89" s="272" t="s">
        <v>2618</v>
      </c>
    </row>
    <row r="90" spans="1:7" ht="17.100000000000001">
      <c r="A90" s="276" t="s">
        <v>2235</v>
      </c>
      <c r="B90" s="276"/>
      <c r="C90" s="276" t="s">
        <v>1212</v>
      </c>
      <c r="D90" s="276" t="s">
        <v>2626</v>
      </c>
      <c r="E90" s="277" t="s">
        <v>1212</v>
      </c>
      <c r="F90" s="277" t="s">
        <v>2082</v>
      </c>
      <c r="G90" s="276" t="s">
        <v>2237</v>
      </c>
    </row>
    <row r="91" spans="1:7">
      <c r="A91" s="57" t="s">
        <v>2238</v>
      </c>
      <c r="B91" s="57"/>
      <c r="C91" s="57" t="s">
        <v>2239</v>
      </c>
      <c r="D91" s="57" t="s">
        <v>2626</v>
      </c>
      <c r="E91" s="58" t="s">
        <v>2239</v>
      </c>
      <c r="F91" s="58" t="s">
        <v>2423</v>
      </c>
      <c r="G91" s="57" t="s">
        <v>2237</v>
      </c>
    </row>
    <row r="92" spans="1:7" ht="17.100000000000001">
      <c r="A92" s="272" t="s">
        <v>2240</v>
      </c>
      <c r="B92" s="272" t="s">
        <v>2241</v>
      </c>
      <c r="C92" s="272" t="s">
        <v>108</v>
      </c>
      <c r="D92" s="272" t="s">
        <v>2626</v>
      </c>
      <c r="E92" s="273" t="s">
        <v>108</v>
      </c>
      <c r="F92" s="273" t="s">
        <v>2423</v>
      </c>
      <c r="G92" s="272" t="s">
        <v>2237</v>
      </c>
    </row>
    <row r="93" spans="1:7">
      <c r="A93" s="57" t="s">
        <v>2242</v>
      </c>
      <c r="B93" s="57" t="s">
        <v>2243</v>
      </c>
      <c r="C93" s="57" t="s">
        <v>108</v>
      </c>
      <c r="D93" s="57" t="s">
        <v>2626</v>
      </c>
      <c r="E93" s="58" t="s">
        <v>108</v>
      </c>
      <c r="F93" s="58" t="s">
        <v>2423</v>
      </c>
      <c r="G93" s="57" t="s">
        <v>2244</v>
      </c>
    </row>
    <row r="94" spans="1:7">
      <c r="A94" s="57" t="s">
        <v>2245</v>
      </c>
      <c r="B94" s="57"/>
      <c r="C94" s="57" t="s">
        <v>108</v>
      </c>
      <c r="D94" s="57" t="s">
        <v>2626</v>
      </c>
      <c r="E94" s="58" t="s">
        <v>108</v>
      </c>
      <c r="F94" s="58" t="s">
        <v>2423</v>
      </c>
      <c r="G94" s="57" t="s">
        <v>2237</v>
      </c>
    </row>
    <row r="95" spans="1:7" ht="17.100000000000001">
      <c r="A95" s="75" t="s">
        <v>2487</v>
      </c>
      <c r="B95" s="75"/>
      <c r="C95" s="75"/>
      <c r="D95" s="75"/>
      <c r="E95" s="76"/>
      <c r="F95" s="75"/>
      <c r="G95" s="75"/>
    </row>
    <row r="96" spans="1:7" ht="17.100000000000001">
      <c r="A96" s="272" t="s">
        <v>2247</v>
      </c>
      <c r="B96" s="272" t="s">
        <v>2248</v>
      </c>
      <c r="C96" s="272" t="s">
        <v>108</v>
      </c>
      <c r="D96" s="272" t="s">
        <v>2626</v>
      </c>
      <c r="E96" s="273" t="s">
        <v>108</v>
      </c>
      <c r="F96" s="273" t="s">
        <v>2423</v>
      </c>
      <c r="G96" s="272" t="s">
        <v>2237</v>
      </c>
    </row>
    <row r="97" spans="1:7">
      <c r="A97" s="57" t="s">
        <v>2249</v>
      </c>
      <c r="B97" s="57" t="s">
        <v>2250</v>
      </c>
      <c r="C97" s="57" t="s">
        <v>108</v>
      </c>
      <c r="D97" s="57" t="s">
        <v>2626</v>
      </c>
      <c r="E97" s="58" t="s">
        <v>108</v>
      </c>
      <c r="F97" s="58" t="s">
        <v>2423</v>
      </c>
      <c r="G97" s="57" t="s">
        <v>2251</v>
      </c>
    </row>
    <row r="98" spans="1:7">
      <c r="A98" s="57" t="s">
        <v>2252</v>
      </c>
      <c r="B98" s="57" t="s">
        <v>2250</v>
      </c>
      <c r="C98" s="57" t="s">
        <v>108</v>
      </c>
      <c r="D98" s="57" t="s">
        <v>2626</v>
      </c>
      <c r="E98" s="58" t="s">
        <v>108</v>
      </c>
      <c r="F98" s="58" t="s">
        <v>2423</v>
      </c>
      <c r="G98" s="57" t="s">
        <v>2237</v>
      </c>
    </row>
    <row r="99" spans="1:7" ht="17.100000000000001">
      <c r="A99" s="272" t="s">
        <v>2256</v>
      </c>
      <c r="B99" s="272" t="s">
        <v>2257</v>
      </c>
      <c r="C99" s="272" t="s">
        <v>108</v>
      </c>
      <c r="D99" s="272" t="s">
        <v>2626</v>
      </c>
      <c r="E99" s="273" t="s">
        <v>108</v>
      </c>
      <c r="F99" s="273" t="s">
        <v>2423</v>
      </c>
      <c r="G99" s="272" t="s">
        <v>2258</v>
      </c>
    </row>
    <row r="100" spans="1:7" ht="17.100000000000001">
      <c r="A100" s="75" t="s">
        <v>2489</v>
      </c>
      <c r="B100" s="75"/>
      <c r="C100" s="75"/>
      <c r="D100" s="75"/>
      <c r="E100" s="76"/>
      <c r="F100" s="75"/>
      <c r="G100" s="75"/>
    </row>
    <row r="101" spans="1:7" ht="17.100000000000001">
      <c r="A101" s="272" t="s">
        <v>2260</v>
      </c>
      <c r="B101" s="272" t="s">
        <v>2261</v>
      </c>
      <c r="C101" s="272" t="s">
        <v>108</v>
      </c>
      <c r="D101" s="272" t="s">
        <v>2626</v>
      </c>
      <c r="E101" s="273" t="s">
        <v>108</v>
      </c>
      <c r="F101" s="273" t="s">
        <v>2423</v>
      </c>
      <c r="G101" s="272" t="s">
        <v>2237</v>
      </c>
    </row>
    <row r="102" spans="1:7" ht="17.100000000000001">
      <c r="A102" s="272" t="s">
        <v>2262</v>
      </c>
      <c r="B102" s="272" t="s">
        <v>2261</v>
      </c>
      <c r="C102" s="272" t="s">
        <v>2263</v>
      </c>
      <c r="D102" s="272" t="s">
        <v>2626</v>
      </c>
      <c r="E102" s="273" t="s">
        <v>108</v>
      </c>
      <c r="F102" s="273" t="s">
        <v>2423</v>
      </c>
      <c r="G102" s="272" t="s">
        <v>2237</v>
      </c>
    </row>
    <row r="103" spans="1:7" ht="17.100000000000001">
      <c r="A103" s="272" t="s">
        <v>2264</v>
      </c>
      <c r="B103" s="272" t="s">
        <v>2261</v>
      </c>
      <c r="C103" s="272" t="s">
        <v>2265</v>
      </c>
      <c r="D103" s="272" t="s">
        <v>2626</v>
      </c>
      <c r="E103" s="273" t="s">
        <v>108</v>
      </c>
      <c r="F103" s="273" t="s">
        <v>2423</v>
      </c>
      <c r="G103" s="272" t="s">
        <v>2266</v>
      </c>
    </row>
    <row r="104" spans="1:7">
      <c r="A104" s="57" t="s">
        <v>2267</v>
      </c>
      <c r="B104" s="57" t="s">
        <v>2261</v>
      </c>
      <c r="C104" s="57" t="s">
        <v>108</v>
      </c>
      <c r="D104" s="57" t="s">
        <v>2626</v>
      </c>
      <c r="E104" s="58" t="s">
        <v>108</v>
      </c>
      <c r="F104" s="58" t="s">
        <v>2423</v>
      </c>
      <c r="G104" s="57" t="s">
        <v>2237</v>
      </c>
    </row>
    <row r="105" spans="1:7" ht="17.100000000000001">
      <c r="A105" s="75" t="s">
        <v>2491</v>
      </c>
      <c r="B105" s="75"/>
      <c r="C105" s="75"/>
      <c r="D105" s="75"/>
      <c r="E105" s="76"/>
      <c r="F105" s="75"/>
      <c r="G105" s="75"/>
    </row>
    <row r="106" spans="1:7" ht="17.100000000000001">
      <c r="A106" s="272" t="s">
        <v>2269</v>
      </c>
      <c r="B106" s="272" t="s">
        <v>2270</v>
      </c>
      <c r="C106" s="272" t="s">
        <v>2271</v>
      </c>
      <c r="D106" s="272" t="s">
        <v>2626</v>
      </c>
      <c r="E106" s="273" t="s">
        <v>108</v>
      </c>
      <c r="F106" s="273" t="s">
        <v>2423</v>
      </c>
      <c r="G106" s="272" t="s">
        <v>2237</v>
      </c>
    </row>
    <row r="107" spans="1:7" ht="17.100000000000001">
      <c r="A107" s="272" t="s">
        <v>2272</v>
      </c>
      <c r="B107" s="272" t="s">
        <v>2273</v>
      </c>
      <c r="C107" s="272" t="s">
        <v>108</v>
      </c>
      <c r="D107" s="272" t="s">
        <v>2626</v>
      </c>
      <c r="E107" s="273" t="s">
        <v>108</v>
      </c>
      <c r="F107" s="273" t="s">
        <v>2423</v>
      </c>
      <c r="G107" s="272" t="s">
        <v>2237</v>
      </c>
    </row>
    <row r="108" spans="1:7" ht="17.100000000000001">
      <c r="A108" s="272" t="s">
        <v>2274</v>
      </c>
      <c r="B108" s="272" t="s">
        <v>2270</v>
      </c>
      <c r="C108" s="272" t="s">
        <v>2275</v>
      </c>
      <c r="D108" s="272" t="s">
        <v>2626</v>
      </c>
      <c r="E108" s="273" t="s">
        <v>108</v>
      </c>
      <c r="F108" s="273" t="s">
        <v>2423</v>
      </c>
      <c r="G108" s="272" t="s">
        <v>2237</v>
      </c>
    </row>
    <row r="109" spans="1:7">
      <c r="A109" s="57" t="s">
        <v>2276</v>
      </c>
      <c r="B109" s="57" t="s">
        <v>2273</v>
      </c>
      <c r="C109" s="57" t="s">
        <v>2277</v>
      </c>
      <c r="D109" s="57" t="s">
        <v>2626</v>
      </c>
      <c r="E109" s="58" t="s">
        <v>108</v>
      </c>
      <c r="F109" s="58" t="s">
        <v>2423</v>
      </c>
      <c r="G109" s="57" t="s">
        <v>2278</v>
      </c>
    </row>
    <row r="110" spans="1:7" ht="17.100000000000001">
      <c r="A110" s="272" t="s">
        <v>2279</v>
      </c>
      <c r="B110" s="272" t="s">
        <v>2280</v>
      </c>
      <c r="C110" s="272" t="s">
        <v>108</v>
      </c>
      <c r="D110" s="272" t="s">
        <v>2626</v>
      </c>
      <c r="E110" s="273" t="s">
        <v>108</v>
      </c>
      <c r="F110" s="273" t="s">
        <v>2423</v>
      </c>
      <c r="G110" s="272" t="s">
        <v>2281</v>
      </c>
    </row>
    <row r="111" spans="1:7">
      <c r="A111" s="57" t="s">
        <v>2282</v>
      </c>
      <c r="B111" s="57" t="s">
        <v>2280</v>
      </c>
      <c r="C111" s="57" t="s">
        <v>108</v>
      </c>
      <c r="D111" s="57" t="s">
        <v>2626</v>
      </c>
      <c r="E111" s="58" t="s">
        <v>108</v>
      </c>
      <c r="F111" s="58" t="s">
        <v>2423</v>
      </c>
      <c r="G111" s="57" t="s">
        <v>2237</v>
      </c>
    </row>
    <row r="112" spans="1:7" ht="17.100000000000001">
      <c r="A112" s="75" t="s">
        <v>2492</v>
      </c>
      <c r="B112" s="75"/>
      <c r="C112" s="75"/>
      <c r="D112" s="75"/>
      <c r="E112" s="76"/>
      <c r="F112" s="75"/>
      <c r="G112" s="75"/>
    </row>
    <row r="113" spans="1:7" ht="17.100000000000001">
      <c r="A113" s="272" t="s">
        <v>2284</v>
      </c>
      <c r="B113" s="272" t="s">
        <v>2285</v>
      </c>
      <c r="C113" s="272" t="s">
        <v>108</v>
      </c>
      <c r="D113" s="272" t="s">
        <v>2626</v>
      </c>
      <c r="E113" s="273" t="s">
        <v>108</v>
      </c>
      <c r="F113" s="273" t="s">
        <v>2423</v>
      </c>
      <c r="G113" s="272" t="s">
        <v>2286</v>
      </c>
    </row>
    <row r="114" spans="1:7" ht="17.100000000000001">
      <c r="A114" s="272" t="s">
        <v>2287</v>
      </c>
      <c r="B114" s="272" t="s">
        <v>2248</v>
      </c>
      <c r="C114" s="272" t="s">
        <v>2288</v>
      </c>
      <c r="D114" s="272" t="s">
        <v>2626</v>
      </c>
      <c r="E114" s="273" t="s">
        <v>2255</v>
      </c>
      <c r="F114" s="273" t="s">
        <v>2423</v>
      </c>
      <c r="G114" s="272" t="s">
        <v>2237</v>
      </c>
    </row>
    <row r="115" spans="1:7">
      <c r="A115" s="57" t="s">
        <v>2289</v>
      </c>
      <c r="B115" s="57" t="s">
        <v>2248</v>
      </c>
      <c r="C115" s="57" t="s">
        <v>2254</v>
      </c>
      <c r="D115" s="57" t="s">
        <v>2626</v>
      </c>
      <c r="E115" s="58" t="s">
        <v>2255</v>
      </c>
      <c r="F115" s="58" t="s">
        <v>2423</v>
      </c>
      <c r="G115" s="57" t="s">
        <v>2237</v>
      </c>
    </row>
    <row r="116" spans="1:7">
      <c r="A116" s="57" t="s">
        <v>2290</v>
      </c>
      <c r="B116" s="57" t="s">
        <v>2248</v>
      </c>
      <c r="C116" s="57" t="s">
        <v>2254</v>
      </c>
      <c r="D116" s="57" t="s">
        <v>2626</v>
      </c>
      <c r="E116" s="58" t="s">
        <v>2255</v>
      </c>
      <c r="F116" s="58" t="s">
        <v>2423</v>
      </c>
      <c r="G116" s="57" t="s">
        <v>2237</v>
      </c>
    </row>
    <row r="117" spans="1:7" ht="17.100000000000001">
      <c r="A117" s="272" t="s">
        <v>2291</v>
      </c>
      <c r="B117" s="272" t="s">
        <v>2292</v>
      </c>
      <c r="C117" s="272" t="s">
        <v>2254</v>
      </c>
      <c r="D117" s="272" t="s">
        <v>2626</v>
      </c>
      <c r="E117" s="273" t="s">
        <v>2255</v>
      </c>
      <c r="F117" s="273" t="s">
        <v>2423</v>
      </c>
      <c r="G117" s="272" t="s">
        <v>2237</v>
      </c>
    </row>
    <row r="118" spans="1:7" ht="17.100000000000001">
      <c r="A118" s="272" t="s">
        <v>2293</v>
      </c>
      <c r="B118" s="272"/>
      <c r="C118" s="272" t="s">
        <v>2254</v>
      </c>
      <c r="D118" s="272" t="s">
        <v>2626</v>
      </c>
      <c r="E118" s="273" t="s">
        <v>2255</v>
      </c>
      <c r="F118" s="273" t="s">
        <v>2423</v>
      </c>
      <c r="G118" s="272" t="s">
        <v>2237</v>
      </c>
    </row>
    <row r="119" spans="1:7" ht="17.100000000000001">
      <c r="A119" s="272" t="s">
        <v>2294</v>
      </c>
      <c r="B119" s="272"/>
      <c r="C119" s="272" t="s">
        <v>2254</v>
      </c>
      <c r="D119" s="272" t="s">
        <v>2626</v>
      </c>
      <c r="E119" s="273" t="s">
        <v>2255</v>
      </c>
      <c r="F119" s="273" t="s">
        <v>2423</v>
      </c>
      <c r="G119" s="272" t="s">
        <v>2237</v>
      </c>
    </row>
    <row r="120" spans="1:7">
      <c r="A120" s="57" t="s">
        <v>2295</v>
      </c>
      <c r="B120" s="57"/>
      <c r="C120" s="57" t="s">
        <v>2254</v>
      </c>
      <c r="D120" s="57" t="s">
        <v>2626</v>
      </c>
      <c r="E120" s="58" t="s">
        <v>2255</v>
      </c>
      <c r="F120" s="58" t="s">
        <v>2423</v>
      </c>
      <c r="G120" s="57" t="s">
        <v>2237</v>
      </c>
    </row>
    <row r="121" spans="1:7" ht="17.100000000000001">
      <c r="A121" s="75" t="s">
        <v>2493</v>
      </c>
      <c r="B121" s="75"/>
      <c r="C121" s="75"/>
      <c r="D121" s="75"/>
      <c r="E121" s="76"/>
      <c r="F121" s="75"/>
      <c r="G121" s="75"/>
    </row>
    <row r="122" spans="1:7" ht="17.100000000000001">
      <c r="A122" s="272" t="s">
        <v>2297</v>
      </c>
      <c r="B122" s="272" t="s">
        <v>2298</v>
      </c>
      <c r="C122" s="272" t="s">
        <v>108</v>
      </c>
      <c r="D122" s="272" t="s">
        <v>2626</v>
      </c>
      <c r="E122" s="273" t="s">
        <v>108</v>
      </c>
      <c r="F122" s="273" t="s">
        <v>2423</v>
      </c>
      <c r="G122" s="272" t="s">
        <v>2237</v>
      </c>
    </row>
    <row r="123" spans="1:7" ht="17.100000000000001">
      <c r="A123" s="272" t="s">
        <v>2299</v>
      </c>
      <c r="B123" s="272" t="s">
        <v>2298</v>
      </c>
      <c r="C123" s="272" t="s">
        <v>2300</v>
      </c>
      <c r="D123" s="272" t="s">
        <v>2626</v>
      </c>
      <c r="E123" s="273" t="s">
        <v>108</v>
      </c>
      <c r="F123" s="273" t="s">
        <v>2423</v>
      </c>
      <c r="G123" s="272" t="s">
        <v>2301</v>
      </c>
    </row>
    <row r="124" spans="1:7">
      <c r="A124" s="57" t="s">
        <v>2302</v>
      </c>
      <c r="B124" s="57"/>
      <c r="C124" s="57" t="s">
        <v>2303</v>
      </c>
      <c r="D124" s="57" t="s">
        <v>2626</v>
      </c>
      <c r="E124" s="58" t="s">
        <v>108</v>
      </c>
      <c r="F124" s="58" t="s">
        <v>2423</v>
      </c>
      <c r="G124" s="57" t="s">
        <v>2237</v>
      </c>
    </row>
    <row r="125" spans="1:7" ht="17.100000000000001">
      <c r="A125" s="272" t="s">
        <v>2304</v>
      </c>
      <c r="B125" s="272"/>
      <c r="C125" s="272" t="s">
        <v>2254</v>
      </c>
      <c r="D125" s="272" t="s">
        <v>2626</v>
      </c>
      <c r="E125" s="273" t="s">
        <v>2255</v>
      </c>
      <c r="F125" s="273" t="s">
        <v>2423</v>
      </c>
      <c r="G125" s="272" t="s">
        <v>2237</v>
      </c>
    </row>
    <row r="126" spans="1:7" ht="17.100000000000001">
      <c r="A126" s="272" t="s">
        <v>2305</v>
      </c>
      <c r="B126" s="272"/>
      <c r="C126" s="272" t="s">
        <v>2254</v>
      </c>
      <c r="D126" s="272" t="s">
        <v>2626</v>
      </c>
      <c r="E126" s="273" t="s">
        <v>2255</v>
      </c>
      <c r="F126" s="273" t="s">
        <v>2423</v>
      </c>
      <c r="G126" s="272" t="s">
        <v>2237</v>
      </c>
    </row>
    <row r="127" spans="1:7">
      <c r="A127" s="57" t="s">
        <v>2306</v>
      </c>
      <c r="B127" s="57" t="s">
        <v>2298</v>
      </c>
      <c r="C127" s="57" t="s">
        <v>2307</v>
      </c>
      <c r="D127" s="57" t="s">
        <v>2626</v>
      </c>
      <c r="E127" s="58" t="s">
        <v>2307</v>
      </c>
      <c r="F127" s="58" t="s">
        <v>2423</v>
      </c>
      <c r="G127" s="57" t="s">
        <v>2237</v>
      </c>
    </row>
    <row r="128" spans="1:7" ht="17.100000000000001">
      <c r="A128" s="272" t="s">
        <v>2308</v>
      </c>
      <c r="B128" s="272" t="s">
        <v>2309</v>
      </c>
      <c r="C128" s="272" t="s">
        <v>108</v>
      </c>
      <c r="D128" s="272" t="s">
        <v>2626</v>
      </c>
      <c r="E128" s="273" t="s">
        <v>108</v>
      </c>
      <c r="F128" s="273" t="s">
        <v>2423</v>
      </c>
      <c r="G128" s="272" t="s">
        <v>2237</v>
      </c>
    </row>
    <row r="129" spans="1:7" ht="17.100000000000001">
      <c r="A129" s="75" t="s">
        <v>2494</v>
      </c>
      <c r="B129" s="75"/>
      <c r="C129" s="75"/>
      <c r="D129" s="75"/>
      <c r="E129" s="76"/>
      <c r="F129" s="75"/>
      <c r="G129" s="75"/>
    </row>
    <row r="130" spans="1:7" ht="17.100000000000001">
      <c r="A130" s="272" t="s">
        <v>2311</v>
      </c>
      <c r="B130" s="272"/>
      <c r="C130" s="272" t="s">
        <v>2307</v>
      </c>
      <c r="D130" s="272" t="s">
        <v>2626</v>
      </c>
      <c r="E130" s="273" t="s">
        <v>2307</v>
      </c>
      <c r="F130" s="273" t="s">
        <v>2423</v>
      </c>
      <c r="G130" s="272" t="s">
        <v>2237</v>
      </c>
    </row>
    <row r="131" spans="1:7" ht="17.100000000000001">
      <c r="A131" s="272" t="s">
        <v>2312</v>
      </c>
      <c r="B131" s="272"/>
      <c r="C131" s="272" t="s">
        <v>2313</v>
      </c>
      <c r="D131" s="272" t="s">
        <v>2626</v>
      </c>
      <c r="E131" s="273" t="s">
        <v>2307</v>
      </c>
      <c r="F131" s="273" t="s">
        <v>2423</v>
      </c>
      <c r="G131" s="272" t="s">
        <v>2237</v>
      </c>
    </row>
    <row r="132" spans="1:7">
      <c r="A132" s="57" t="s">
        <v>2314</v>
      </c>
      <c r="B132" s="57" t="s">
        <v>2298</v>
      </c>
      <c r="C132" s="57" t="s">
        <v>108</v>
      </c>
      <c r="D132" s="57" t="s">
        <v>2626</v>
      </c>
      <c r="E132" s="58" t="s">
        <v>108</v>
      </c>
      <c r="F132" s="58" t="s">
        <v>2423</v>
      </c>
      <c r="G132" s="57" t="s">
        <v>2237</v>
      </c>
    </row>
    <row r="133" spans="1:7">
      <c r="A133" s="57" t="s">
        <v>2315</v>
      </c>
      <c r="B133" s="57" t="s">
        <v>2298</v>
      </c>
      <c r="C133" s="57" t="s">
        <v>108</v>
      </c>
      <c r="D133" s="57" t="s">
        <v>2626</v>
      </c>
      <c r="E133" s="58" t="s">
        <v>108</v>
      </c>
      <c r="F133" s="58" t="s">
        <v>2423</v>
      </c>
      <c r="G133" s="57" t="s">
        <v>2237</v>
      </c>
    </row>
    <row r="134" spans="1:7">
      <c r="A134" s="57" t="s">
        <v>2316</v>
      </c>
      <c r="B134" s="57" t="s">
        <v>2292</v>
      </c>
      <c r="C134" s="57" t="s">
        <v>108</v>
      </c>
      <c r="D134" s="57" t="s">
        <v>2626</v>
      </c>
      <c r="E134" s="58" t="s">
        <v>108</v>
      </c>
      <c r="F134" s="58" t="s">
        <v>2423</v>
      </c>
      <c r="G134" s="57" t="s">
        <v>2237</v>
      </c>
    </row>
    <row r="135" spans="1:7" ht="17.100000000000001">
      <c r="A135" s="272" t="s">
        <v>2317</v>
      </c>
      <c r="B135" s="272" t="s">
        <v>2318</v>
      </c>
      <c r="C135" s="272" t="s">
        <v>2307</v>
      </c>
      <c r="D135" s="272" t="s">
        <v>2626</v>
      </c>
      <c r="E135" s="273" t="s">
        <v>2307</v>
      </c>
      <c r="F135" s="273" t="s">
        <v>2423</v>
      </c>
      <c r="G135" s="272" t="s">
        <v>2237</v>
      </c>
    </row>
    <row r="136" spans="1:7" ht="17.100000000000001">
      <c r="A136" s="272" t="s">
        <v>2319</v>
      </c>
      <c r="B136" s="272" t="s">
        <v>2318</v>
      </c>
      <c r="C136" s="272" t="s">
        <v>2307</v>
      </c>
      <c r="D136" s="272" t="s">
        <v>2626</v>
      </c>
      <c r="E136" s="273" t="s">
        <v>2307</v>
      </c>
      <c r="F136" s="273" t="s">
        <v>2423</v>
      </c>
      <c r="G136" s="272" t="s">
        <v>2237</v>
      </c>
    </row>
    <row r="137" spans="1:7" ht="17.100000000000001">
      <c r="A137" s="272" t="s">
        <v>2320</v>
      </c>
      <c r="B137" s="272"/>
      <c r="C137" s="272" t="s">
        <v>2254</v>
      </c>
      <c r="D137" s="272" t="s">
        <v>2626</v>
      </c>
      <c r="E137" s="273" t="s">
        <v>2255</v>
      </c>
      <c r="F137" s="273" t="s">
        <v>2423</v>
      </c>
      <c r="G137" s="272" t="s">
        <v>2237</v>
      </c>
    </row>
    <row r="138" spans="1:7">
      <c r="A138" s="57" t="s">
        <v>2321</v>
      </c>
      <c r="B138" s="57" t="s">
        <v>2318</v>
      </c>
      <c r="C138" s="57" t="s">
        <v>108</v>
      </c>
      <c r="D138" s="57" t="s">
        <v>2626</v>
      </c>
      <c r="E138" s="58" t="s">
        <v>108</v>
      </c>
      <c r="F138" s="58" t="s">
        <v>2423</v>
      </c>
      <c r="G138" s="57" t="s">
        <v>2322</v>
      </c>
    </row>
    <row r="139" spans="1:7" ht="17.100000000000001">
      <c r="A139" s="75" t="s">
        <v>2498</v>
      </c>
      <c r="B139" s="75"/>
      <c r="C139" s="75"/>
      <c r="D139" s="75"/>
      <c r="E139" s="76"/>
      <c r="F139" s="75"/>
      <c r="G139" s="75"/>
    </row>
    <row r="140" spans="1:7">
      <c r="A140" s="57" t="s">
        <v>2324</v>
      </c>
      <c r="B140" s="57" t="s">
        <v>2325</v>
      </c>
      <c r="C140" s="57" t="s">
        <v>108</v>
      </c>
      <c r="D140" s="57" t="s">
        <v>2626</v>
      </c>
      <c r="E140" s="58" t="s">
        <v>108</v>
      </c>
      <c r="F140" s="58" t="s">
        <v>2423</v>
      </c>
      <c r="G140" s="57" t="s">
        <v>2237</v>
      </c>
    </row>
    <row r="141" spans="1:7" ht="17.100000000000001">
      <c r="A141" s="272" t="s">
        <v>2326</v>
      </c>
      <c r="B141" s="272" t="s">
        <v>2327</v>
      </c>
      <c r="C141" s="272" t="s">
        <v>108</v>
      </c>
      <c r="D141" s="272" t="s">
        <v>2626</v>
      </c>
      <c r="E141" s="273" t="s">
        <v>108</v>
      </c>
      <c r="F141" s="273" t="s">
        <v>2423</v>
      </c>
      <c r="G141" s="272" t="s">
        <v>2237</v>
      </c>
    </row>
    <row r="142" spans="1:7">
      <c r="A142" s="57" t="s">
        <v>2328</v>
      </c>
      <c r="B142" s="57" t="s">
        <v>2327</v>
      </c>
      <c r="C142" s="57" t="s">
        <v>108</v>
      </c>
      <c r="D142" s="57" t="s">
        <v>2626</v>
      </c>
      <c r="E142" s="58" t="s">
        <v>108</v>
      </c>
      <c r="F142" s="58" t="s">
        <v>2423</v>
      </c>
      <c r="G142" s="57" t="s">
        <v>2237</v>
      </c>
    </row>
    <row r="143" spans="1:7" ht="17.100000000000001">
      <c r="A143" s="75" t="s">
        <v>2499</v>
      </c>
      <c r="B143" s="75"/>
      <c r="C143" s="75"/>
      <c r="D143" s="75"/>
      <c r="E143" s="76"/>
      <c r="F143" s="75"/>
      <c r="G143" s="75"/>
    </row>
    <row r="144" spans="1:7" ht="17.100000000000001">
      <c r="A144" s="272" t="s">
        <v>2330</v>
      </c>
      <c r="B144" s="272" t="s">
        <v>2331</v>
      </c>
      <c r="C144" s="272" t="s">
        <v>2307</v>
      </c>
      <c r="D144" s="272" t="s">
        <v>2626</v>
      </c>
      <c r="E144" s="273" t="s">
        <v>2307</v>
      </c>
      <c r="F144" s="273" t="s">
        <v>2423</v>
      </c>
      <c r="G144" s="272" t="s">
        <v>2332</v>
      </c>
    </row>
    <row r="145" spans="1:7" ht="17.100000000000001">
      <c r="A145" s="272" t="s">
        <v>2333</v>
      </c>
      <c r="B145" s="272" t="s">
        <v>2334</v>
      </c>
      <c r="C145" s="272" t="s">
        <v>108</v>
      </c>
      <c r="D145" s="272" t="s">
        <v>2626</v>
      </c>
      <c r="E145" s="273" t="s">
        <v>108</v>
      </c>
      <c r="F145" s="273" t="s">
        <v>2423</v>
      </c>
      <c r="G145" s="272" t="s">
        <v>2335</v>
      </c>
    </row>
    <row r="146" spans="1:7" ht="17.100000000000001">
      <c r="A146" s="272" t="s">
        <v>2336</v>
      </c>
      <c r="B146" s="272" t="s">
        <v>2337</v>
      </c>
      <c r="C146" s="272" t="s">
        <v>108</v>
      </c>
      <c r="D146" s="272" t="s">
        <v>2626</v>
      </c>
      <c r="E146" s="273" t="s">
        <v>108</v>
      </c>
      <c r="F146" s="273" t="s">
        <v>2423</v>
      </c>
      <c r="G146" s="272" t="s">
        <v>2338</v>
      </c>
    </row>
    <row r="147" spans="1:7" ht="17.100000000000001">
      <c r="A147" s="272" t="s">
        <v>2339</v>
      </c>
      <c r="B147" s="272" t="s">
        <v>2340</v>
      </c>
      <c r="C147" s="272" t="s">
        <v>108</v>
      </c>
      <c r="D147" s="272" t="s">
        <v>2626</v>
      </c>
      <c r="E147" s="273" t="s">
        <v>108</v>
      </c>
      <c r="F147" s="273" t="s">
        <v>2423</v>
      </c>
      <c r="G147" s="272" t="s">
        <v>2341</v>
      </c>
    </row>
    <row r="148" spans="1:7">
      <c r="A148" s="57" t="s">
        <v>2342</v>
      </c>
      <c r="B148" s="57"/>
      <c r="C148" s="57" t="s">
        <v>2254</v>
      </c>
      <c r="D148" s="57" t="s">
        <v>2626</v>
      </c>
      <c r="E148" s="58" t="s">
        <v>2255</v>
      </c>
      <c r="F148" s="58" t="s">
        <v>2423</v>
      </c>
      <c r="G148" s="57" t="s">
        <v>2237</v>
      </c>
    </row>
    <row r="149" spans="1:7" ht="17.100000000000001">
      <c r="A149" s="75" t="s">
        <v>2500</v>
      </c>
      <c r="B149" s="75"/>
      <c r="C149" s="75"/>
      <c r="D149" s="75"/>
      <c r="E149" s="76"/>
      <c r="F149" s="75"/>
      <c r="G149" s="75"/>
    </row>
    <row r="150" spans="1:7">
      <c r="A150" s="57" t="s">
        <v>2344</v>
      </c>
      <c r="B150" s="57" t="s">
        <v>2334</v>
      </c>
      <c r="C150" s="57" t="s">
        <v>108</v>
      </c>
      <c r="D150" s="57" t="s">
        <v>2626</v>
      </c>
      <c r="E150" s="58" t="s">
        <v>108</v>
      </c>
      <c r="F150" s="58" t="s">
        <v>2423</v>
      </c>
      <c r="G150" s="57" t="s">
        <v>2345</v>
      </c>
    </row>
    <row r="151" spans="1:7" ht="17.100000000000001">
      <c r="A151" s="272" t="s">
        <v>2346</v>
      </c>
      <c r="B151" s="272" t="s">
        <v>2347</v>
      </c>
      <c r="C151" s="272" t="s">
        <v>108</v>
      </c>
      <c r="D151" s="272" t="s">
        <v>2626</v>
      </c>
      <c r="E151" s="273" t="s">
        <v>108</v>
      </c>
      <c r="F151" s="273" t="s">
        <v>2423</v>
      </c>
      <c r="G151" s="272" t="s">
        <v>2348</v>
      </c>
    </row>
    <row r="152" spans="1:7">
      <c r="A152" s="57" t="s">
        <v>2349</v>
      </c>
      <c r="B152" s="57" t="s">
        <v>2350</v>
      </c>
      <c r="C152" s="57" t="s">
        <v>108</v>
      </c>
      <c r="D152" s="57" t="s">
        <v>2626</v>
      </c>
      <c r="E152" s="58" t="s">
        <v>108</v>
      </c>
      <c r="F152" s="58" t="s">
        <v>2423</v>
      </c>
      <c r="G152" s="57" t="s">
        <v>2351</v>
      </c>
    </row>
    <row r="153" spans="1:7">
      <c r="A153" s="57" t="s">
        <v>2352</v>
      </c>
      <c r="B153" s="57" t="s">
        <v>2353</v>
      </c>
      <c r="C153" s="57" t="s">
        <v>2307</v>
      </c>
      <c r="D153" s="57" t="s">
        <v>2626</v>
      </c>
      <c r="E153" s="58" t="s">
        <v>2307</v>
      </c>
      <c r="F153" s="58" t="s">
        <v>2423</v>
      </c>
      <c r="G153" s="57" t="s">
        <v>2237</v>
      </c>
    </row>
    <row r="154" spans="1:7" ht="17.100000000000001">
      <c r="A154" s="272" t="s">
        <v>2354</v>
      </c>
      <c r="B154" s="272" t="s">
        <v>2353</v>
      </c>
      <c r="C154" s="272" t="s">
        <v>2355</v>
      </c>
      <c r="D154" s="272" t="s">
        <v>2626</v>
      </c>
      <c r="E154" s="273" t="s">
        <v>108</v>
      </c>
      <c r="F154" s="273" t="s">
        <v>2423</v>
      </c>
      <c r="G154" s="272" t="s">
        <v>2237</v>
      </c>
    </row>
    <row r="155" spans="1:7" ht="17.100000000000001">
      <c r="A155" s="75" t="s">
        <v>2501</v>
      </c>
      <c r="B155" s="75"/>
      <c r="C155" s="75"/>
      <c r="D155" s="75"/>
      <c r="E155" s="76"/>
      <c r="F155" s="75"/>
      <c r="G155" s="75"/>
    </row>
    <row r="156" spans="1:7" ht="17.100000000000001">
      <c r="A156" s="272" t="s">
        <v>2357</v>
      </c>
      <c r="B156" s="272" t="s">
        <v>2358</v>
      </c>
      <c r="C156" s="272" t="s">
        <v>108</v>
      </c>
      <c r="D156" s="272" t="s">
        <v>2626</v>
      </c>
      <c r="E156" s="273" t="s">
        <v>108</v>
      </c>
      <c r="F156" s="273" t="s">
        <v>2423</v>
      </c>
      <c r="G156" s="272" t="s">
        <v>2237</v>
      </c>
    </row>
    <row r="157" spans="1:7" ht="17.100000000000001">
      <c r="A157" s="272" t="s">
        <v>2359</v>
      </c>
      <c r="B157" s="272" t="s">
        <v>2358</v>
      </c>
      <c r="C157" s="272" t="s">
        <v>2307</v>
      </c>
      <c r="D157" s="272" t="s">
        <v>2626</v>
      </c>
      <c r="E157" s="273" t="s">
        <v>2307</v>
      </c>
      <c r="F157" s="273" t="s">
        <v>2423</v>
      </c>
      <c r="G157" s="272" t="s">
        <v>2360</v>
      </c>
    </row>
    <row r="158" spans="1:7">
      <c r="A158" s="57" t="s">
        <v>2619</v>
      </c>
      <c r="B158" s="57" t="s">
        <v>2620</v>
      </c>
      <c r="C158" s="57" t="s">
        <v>2621</v>
      </c>
      <c r="D158" s="57" t="s">
        <v>2626</v>
      </c>
      <c r="E158" s="58" t="s">
        <v>108</v>
      </c>
      <c r="F158" s="58" t="s">
        <v>2423</v>
      </c>
      <c r="G158" s="57" t="s">
        <v>2237</v>
      </c>
    </row>
    <row r="159" spans="1:7">
      <c r="A159" s="56" t="s">
        <v>2361</v>
      </c>
      <c r="B159" s="56" t="s">
        <v>2362</v>
      </c>
      <c r="C159" s="56" t="s">
        <v>2363</v>
      </c>
      <c r="D159" s="56" t="s">
        <v>2626</v>
      </c>
      <c r="E159" s="74" t="s">
        <v>2451</v>
      </c>
      <c r="F159" s="74" t="s">
        <v>2082</v>
      </c>
      <c r="G159" s="56" t="s">
        <v>2365</v>
      </c>
    </row>
    <row r="160" spans="1:7" ht="17.100000000000001">
      <c r="A160" s="272" t="s">
        <v>2366</v>
      </c>
      <c r="B160" s="272" t="s">
        <v>2362</v>
      </c>
      <c r="C160" s="272" t="s">
        <v>2265</v>
      </c>
      <c r="D160" s="272" t="s">
        <v>2626</v>
      </c>
      <c r="E160" s="273" t="s">
        <v>108</v>
      </c>
      <c r="F160" s="273" t="s">
        <v>2423</v>
      </c>
      <c r="G160" s="272" t="s">
        <v>2367</v>
      </c>
    </row>
    <row r="161" spans="1:7">
      <c r="A161" s="57" t="s">
        <v>2368</v>
      </c>
      <c r="B161" s="57" t="s">
        <v>2358</v>
      </c>
      <c r="C161" s="57" t="s">
        <v>2369</v>
      </c>
      <c r="D161" s="57" t="s">
        <v>2626</v>
      </c>
      <c r="E161" s="58" t="s">
        <v>108</v>
      </c>
      <c r="F161" s="58" t="s">
        <v>2423</v>
      </c>
      <c r="G161" s="57" t="s">
        <v>2237</v>
      </c>
    </row>
    <row r="162" spans="1:7">
      <c r="A162" s="57" t="s">
        <v>2370</v>
      </c>
      <c r="B162" s="57" t="s">
        <v>2358</v>
      </c>
      <c r="C162" s="57" t="s">
        <v>2371</v>
      </c>
      <c r="D162" s="57" t="s">
        <v>2626</v>
      </c>
      <c r="E162" s="58" t="s">
        <v>108</v>
      </c>
      <c r="F162" s="58" t="s">
        <v>2423</v>
      </c>
      <c r="G162" s="57" t="s">
        <v>2372</v>
      </c>
    </row>
    <row r="163" spans="1:7" ht="17.100000000000001">
      <c r="A163" s="272" t="s">
        <v>2622</v>
      </c>
      <c r="B163" s="272" t="s">
        <v>2358</v>
      </c>
      <c r="C163" s="272" t="s">
        <v>2623</v>
      </c>
      <c r="D163" s="272" t="s">
        <v>2626</v>
      </c>
      <c r="E163" s="273" t="s">
        <v>108</v>
      </c>
      <c r="F163" s="273" t="s">
        <v>2423</v>
      </c>
      <c r="G163" s="272" t="s">
        <v>2237</v>
      </c>
    </row>
    <row r="164" spans="1:7" ht="17.100000000000001">
      <c r="A164" s="75" t="s">
        <v>2503</v>
      </c>
      <c r="B164" s="75"/>
      <c r="C164" s="75"/>
      <c r="D164" s="75"/>
      <c r="E164" s="76"/>
      <c r="F164" s="75"/>
      <c r="G164" s="75"/>
    </row>
    <row r="165" spans="1:7" ht="17.100000000000001">
      <c r="A165" s="272" t="s">
        <v>2374</v>
      </c>
      <c r="B165" s="272" t="s">
        <v>2375</v>
      </c>
      <c r="C165" s="272" t="s">
        <v>2376</v>
      </c>
      <c r="D165" s="272" t="s">
        <v>2626</v>
      </c>
      <c r="E165" s="273" t="s">
        <v>108</v>
      </c>
      <c r="F165" s="273" t="s">
        <v>2423</v>
      </c>
      <c r="G165" s="272" t="s">
        <v>2377</v>
      </c>
    </row>
    <row r="166" spans="1:7" ht="17.100000000000001">
      <c r="A166" s="272" t="s">
        <v>2378</v>
      </c>
      <c r="B166" s="272" t="s">
        <v>2379</v>
      </c>
      <c r="C166" s="272" t="s">
        <v>2380</v>
      </c>
      <c r="D166" s="272" t="s">
        <v>2626</v>
      </c>
      <c r="E166" s="273" t="s">
        <v>108</v>
      </c>
      <c r="F166" s="273" t="s">
        <v>2423</v>
      </c>
      <c r="G166" s="272" t="s">
        <v>2381</v>
      </c>
    </row>
    <row r="167" spans="1:7" ht="17.100000000000001">
      <c r="A167" s="272" t="s">
        <v>2382</v>
      </c>
      <c r="B167" s="272"/>
      <c r="C167" s="272" t="s">
        <v>2254</v>
      </c>
      <c r="D167" s="272" t="s">
        <v>2626</v>
      </c>
      <c r="E167" s="273" t="s">
        <v>2255</v>
      </c>
      <c r="F167" s="273" t="s">
        <v>2423</v>
      </c>
      <c r="G167" s="272" t="s">
        <v>2237</v>
      </c>
    </row>
    <row r="168" spans="1:7">
      <c r="A168" s="57" t="s">
        <v>2383</v>
      </c>
      <c r="B168" s="57"/>
      <c r="C168" s="57" t="s">
        <v>108</v>
      </c>
      <c r="D168" s="57" t="s">
        <v>2626</v>
      </c>
      <c r="E168" s="58" t="s">
        <v>108</v>
      </c>
      <c r="F168" s="58" t="s">
        <v>2423</v>
      </c>
      <c r="G168" s="57" t="s">
        <v>2237</v>
      </c>
    </row>
    <row r="169" spans="1:7" ht="17.100000000000001">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2" t="s">
        <v>2627</v>
      </c>
      <c r="B1" s="342"/>
      <c r="C1" s="342"/>
      <c r="D1" s="342"/>
      <c r="E1" s="342"/>
      <c r="F1" s="342"/>
      <c r="G1" s="342"/>
      <c r="H1" s="342"/>
      <c r="I1" s="342"/>
    </row>
    <row r="2" spans="1:9" ht="47.25" customHeight="1">
      <c r="A2" s="343" t="s">
        <v>2628</v>
      </c>
      <c r="B2" s="343"/>
      <c r="C2" s="343"/>
      <c r="D2" s="343"/>
      <c r="E2" s="343"/>
      <c r="F2" s="343"/>
      <c r="G2" s="343"/>
      <c r="H2" s="343"/>
      <c r="I2" s="343"/>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c r="A235" s="57" t="s">
        <v>2326</v>
      </c>
      <c r="B235" s="57" t="s">
        <v>2327</v>
      </c>
      <c r="C235" s="57" t="s">
        <v>108</v>
      </c>
      <c r="D235" s="57" t="s">
        <v>2634</v>
      </c>
      <c r="E235" s="58" t="s">
        <v>108</v>
      </c>
      <c r="F235" s="58" t="s">
        <v>2630</v>
      </c>
      <c r="G235" s="57" t="s">
        <v>2237</v>
      </c>
    </row>
    <row r="236" spans="1:7">
      <c r="A236" s="57" t="s">
        <v>2328</v>
      </c>
      <c r="B236" s="57" t="s">
        <v>2327</v>
      </c>
      <c r="C236" s="57" t="s">
        <v>108</v>
      </c>
      <c r="D236" s="57" t="s">
        <v>2634</v>
      </c>
      <c r="E236" s="58" t="s">
        <v>108</v>
      </c>
      <c r="F236" s="58" t="s">
        <v>2630</v>
      </c>
      <c r="G236" s="57" t="s">
        <v>2237</v>
      </c>
    </row>
    <row r="237" spans="1:7" ht="17.100000000000001">
      <c r="A237" s="75" t="s">
        <v>2464</v>
      </c>
      <c r="B237" s="75"/>
      <c r="C237" s="75"/>
      <c r="D237" s="75"/>
      <c r="E237" s="76"/>
      <c r="F237" s="75"/>
      <c r="G237" s="75"/>
    </row>
    <row r="238" spans="1:7">
      <c r="A238" s="57" t="s">
        <v>2330</v>
      </c>
      <c r="B238" s="57" t="s">
        <v>2331</v>
      </c>
      <c r="C238" s="57" t="s">
        <v>2307</v>
      </c>
      <c r="D238" s="57" t="s">
        <v>2634</v>
      </c>
      <c r="E238" s="58" t="s">
        <v>2307</v>
      </c>
      <c r="F238" s="58" t="s">
        <v>2630</v>
      </c>
      <c r="G238" s="57" t="s">
        <v>2332</v>
      </c>
    </row>
    <row r="239" spans="1:7">
      <c r="A239" s="57" t="s">
        <v>2333</v>
      </c>
      <c r="B239" s="57" t="s">
        <v>2334</v>
      </c>
      <c r="C239" s="57" t="s">
        <v>108</v>
      </c>
      <c r="D239" s="57" t="s">
        <v>2634</v>
      </c>
      <c r="E239" s="58" t="s">
        <v>108</v>
      </c>
      <c r="F239" s="58" t="s">
        <v>2630</v>
      </c>
      <c r="G239" s="57" t="s">
        <v>2335</v>
      </c>
    </row>
    <row r="240" spans="1:7">
      <c r="A240" s="57" t="s">
        <v>2336</v>
      </c>
      <c r="B240" s="57" t="s">
        <v>2337</v>
      </c>
      <c r="C240" s="57" t="s">
        <v>108</v>
      </c>
      <c r="D240" s="57" t="s">
        <v>2634</v>
      </c>
      <c r="E240" s="58" t="s">
        <v>108</v>
      </c>
      <c r="F240" s="58" t="s">
        <v>2630</v>
      </c>
      <c r="G240" s="57" t="s">
        <v>2338</v>
      </c>
    </row>
    <row r="241" spans="1:7">
      <c r="A241" s="57" t="s">
        <v>2339</v>
      </c>
      <c r="B241" s="57" t="s">
        <v>2340</v>
      </c>
      <c r="C241" s="57" t="s">
        <v>108</v>
      </c>
      <c r="D241" s="57" t="s">
        <v>2634</v>
      </c>
      <c r="E241" s="58" t="s">
        <v>108</v>
      </c>
      <c r="F241" s="58" t="s">
        <v>2630</v>
      </c>
      <c r="G241" s="57" t="s">
        <v>2341</v>
      </c>
    </row>
    <row r="242" spans="1:7">
      <c r="A242" s="57" t="s">
        <v>2342</v>
      </c>
      <c r="B242" s="57"/>
      <c r="C242" s="57" t="s">
        <v>2254</v>
      </c>
      <c r="D242" s="57" t="s">
        <v>2634</v>
      </c>
      <c r="E242" s="58" t="s">
        <v>2255</v>
      </c>
      <c r="F242" s="58" t="s">
        <v>2630</v>
      </c>
      <c r="G242" s="57" t="s">
        <v>2237</v>
      </c>
    </row>
    <row r="243" spans="1:7" ht="17.100000000000001">
      <c r="A243" s="75" t="s">
        <v>2465</v>
      </c>
      <c r="B243" s="75"/>
      <c r="C243" s="75"/>
      <c r="D243" s="75"/>
      <c r="E243" s="76"/>
      <c r="F243" s="75"/>
      <c r="G243" s="75"/>
    </row>
    <row r="244" spans="1:7">
      <c r="A244" s="57" t="s">
        <v>2344</v>
      </c>
      <c r="B244" s="57" t="s">
        <v>2334</v>
      </c>
      <c r="C244" s="57" t="s">
        <v>108</v>
      </c>
      <c r="D244" s="57" t="s">
        <v>2634</v>
      </c>
      <c r="E244" s="58" t="s">
        <v>108</v>
      </c>
      <c r="F244" s="58" t="s">
        <v>2630</v>
      </c>
      <c r="G244" s="57" t="s">
        <v>2345</v>
      </c>
    </row>
    <row r="245" spans="1:7">
      <c r="A245" s="57" t="s">
        <v>2346</v>
      </c>
      <c r="B245" s="57" t="s">
        <v>2347</v>
      </c>
      <c r="C245" s="57" t="s">
        <v>108</v>
      </c>
      <c r="D245" s="57" t="s">
        <v>2634</v>
      </c>
      <c r="E245" s="58" t="s">
        <v>108</v>
      </c>
      <c r="F245" s="58" t="s">
        <v>2630</v>
      </c>
      <c r="G245" s="57" t="s">
        <v>2348</v>
      </c>
    </row>
    <row r="246" spans="1:7">
      <c r="A246" s="57" t="s">
        <v>2349</v>
      </c>
      <c r="B246" s="57" t="s">
        <v>2350</v>
      </c>
      <c r="C246" s="57" t="s">
        <v>108</v>
      </c>
      <c r="D246" s="57" t="s">
        <v>2634</v>
      </c>
      <c r="E246" s="58" t="s">
        <v>108</v>
      </c>
      <c r="F246" s="58" t="s">
        <v>2630</v>
      </c>
      <c r="G246" s="57" t="s">
        <v>2351</v>
      </c>
    </row>
    <row r="247" spans="1:7">
      <c r="A247" s="57" t="s">
        <v>2352</v>
      </c>
      <c r="B247" s="57" t="s">
        <v>2353</v>
      </c>
      <c r="C247" s="57" t="s">
        <v>2307</v>
      </c>
      <c r="D247" s="57" t="s">
        <v>2634</v>
      </c>
      <c r="E247" s="58" t="s">
        <v>2307</v>
      </c>
      <c r="F247" s="58" t="s">
        <v>2630</v>
      </c>
      <c r="G247" s="57" t="s">
        <v>2237</v>
      </c>
    </row>
    <row r="248" spans="1:7">
      <c r="A248" s="57" t="s">
        <v>2354</v>
      </c>
      <c r="B248" s="57" t="s">
        <v>2353</v>
      </c>
      <c r="C248" s="57" t="s">
        <v>2355</v>
      </c>
      <c r="D248" s="57" t="s">
        <v>2634</v>
      </c>
      <c r="E248" s="58" t="s">
        <v>108</v>
      </c>
      <c r="F248" s="58" t="s">
        <v>2630</v>
      </c>
      <c r="G248" s="57" t="s">
        <v>2237</v>
      </c>
    </row>
    <row r="249" spans="1:7" ht="17.100000000000001">
      <c r="A249" s="75" t="s">
        <v>2639</v>
      </c>
      <c r="B249" s="75"/>
      <c r="C249" s="75"/>
      <c r="D249" s="75"/>
      <c r="E249" s="76"/>
      <c r="F249" s="75"/>
      <c r="G249" s="75"/>
    </row>
    <row r="250" spans="1:7">
      <c r="A250" s="57" t="s">
        <v>2357</v>
      </c>
      <c r="B250" s="57" t="s">
        <v>2358</v>
      </c>
      <c r="C250" s="57" t="s">
        <v>108</v>
      </c>
      <c r="D250" s="57" t="s">
        <v>2634</v>
      </c>
      <c r="E250" s="58" t="s">
        <v>108</v>
      </c>
      <c r="F250" s="58" t="s">
        <v>2630</v>
      </c>
      <c r="G250" s="57" t="s">
        <v>2237</v>
      </c>
    </row>
    <row r="251" spans="1:7">
      <c r="A251" s="57" t="s">
        <v>2359</v>
      </c>
      <c r="B251" s="57" t="s">
        <v>2358</v>
      </c>
      <c r="C251" s="57" t="s">
        <v>2307</v>
      </c>
      <c r="D251" s="57" t="s">
        <v>2634</v>
      </c>
      <c r="E251" s="58" t="s">
        <v>2307</v>
      </c>
      <c r="F251" s="58" t="s">
        <v>2630</v>
      </c>
      <c r="G251" s="57" t="s">
        <v>2360</v>
      </c>
    </row>
    <row r="252" spans="1:7">
      <c r="A252" s="56" t="s">
        <v>2361</v>
      </c>
      <c r="B252" s="56" t="s">
        <v>2362</v>
      </c>
      <c r="C252" s="56" t="s">
        <v>2363</v>
      </c>
      <c r="D252" s="56" t="s">
        <v>2634</v>
      </c>
      <c r="E252" s="74" t="s">
        <v>2640</v>
      </c>
      <c r="F252" s="56" t="s">
        <v>2031</v>
      </c>
      <c r="G252" s="56" t="s">
        <v>2365</v>
      </c>
    </row>
    <row r="253" spans="1:7">
      <c r="A253" s="57" t="s">
        <v>2366</v>
      </c>
      <c r="B253" s="57" t="s">
        <v>2362</v>
      </c>
      <c r="C253" s="57" t="s">
        <v>2265</v>
      </c>
      <c r="D253" s="57" t="s">
        <v>2634</v>
      </c>
      <c r="E253" s="58" t="s">
        <v>108</v>
      </c>
      <c r="F253" s="58" t="s">
        <v>2630</v>
      </c>
      <c r="G253" s="57" t="s">
        <v>2367</v>
      </c>
    </row>
    <row r="254" spans="1:7">
      <c r="A254" s="57" t="s">
        <v>2368</v>
      </c>
      <c r="B254" s="57" t="s">
        <v>2358</v>
      </c>
      <c r="C254" s="57" t="s">
        <v>2369</v>
      </c>
      <c r="D254" s="57" t="s">
        <v>2634</v>
      </c>
      <c r="E254" s="58" t="s">
        <v>108</v>
      </c>
      <c r="F254" s="58" t="s">
        <v>2630</v>
      </c>
      <c r="G254" s="57" t="s">
        <v>2237</v>
      </c>
    </row>
    <row r="255" spans="1:7">
      <c r="A255" s="57" t="s">
        <v>2370</v>
      </c>
      <c r="B255" s="57" t="s">
        <v>2358</v>
      </c>
      <c r="C255" s="57" t="s">
        <v>2371</v>
      </c>
      <c r="D255" s="57" t="s">
        <v>2634</v>
      </c>
      <c r="E255" s="58" t="s">
        <v>108</v>
      </c>
      <c r="F255" s="58" t="s">
        <v>2630</v>
      </c>
      <c r="G255" s="57" t="s">
        <v>2372</v>
      </c>
    </row>
    <row r="256" spans="1:7" ht="17.100000000000001">
      <c r="A256" s="75" t="s">
        <v>2466</v>
      </c>
      <c r="B256" s="75"/>
      <c r="C256" s="75"/>
      <c r="D256" s="75"/>
      <c r="E256" s="76"/>
      <c r="F256" s="75"/>
      <c r="G256" s="75"/>
    </row>
    <row r="257" spans="1:7">
      <c r="A257" s="57" t="s">
        <v>2374</v>
      </c>
      <c r="B257" s="57" t="s">
        <v>2375</v>
      </c>
      <c r="C257" s="57" t="s">
        <v>2376</v>
      </c>
      <c r="D257" s="57" t="s">
        <v>2634</v>
      </c>
      <c r="E257" s="58" t="s">
        <v>108</v>
      </c>
      <c r="F257" s="58" t="s">
        <v>2630</v>
      </c>
      <c r="G257" s="57" t="s">
        <v>2377</v>
      </c>
    </row>
    <row r="258" spans="1:7">
      <c r="A258" s="57" t="s">
        <v>2378</v>
      </c>
      <c r="B258" s="57" t="s">
        <v>2379</v>
      </c>
      <c r="C258" s="57" t="s">
        <v>2380</v>
      </c>
      <c r="D258" s="57" t="s">
        <v>2634</v>
      </c>
      <c r="E258" s="58" t="s">
        <v>108</v>
      </c>
      <c r="F258" s="58" t="s">
        <v>2630</v>
      </c>
      <c r="G258" s="57" t="s">
        <v>2381</v>
      </c>
    </row>
    <row r="259" spans="1:7">
      <c r="A259" s="57" t="s">
        <v>2382</v>
      </c>
      <c r="B259" s="57"/>
      <c r="C259" s="57" t="s">
        <v>2254</v>
      </c>
      <c r="D259" s="57" t="s">
        <v>2634</v>
      </c>
      <c r="E259" s="58" t="s">
        <v>2255</v>
      </c>
      <c r="F259" s="58" t="s">
        <v>2630</v>
      </c>
      <c r="G259" s="57" t="s">
        <v>2237</v>
      </c>
    </row>
    <row r="260" spans="1:7">
      <c r="A260" s="57" t="s">
        <v>2383</v>
      </c>
      <c r="B260" s="57"/>
      <c r="C260" s="57" t="s">
        <v>108</v>
      </c>
      <c r="D260" s="57" t="s">
        <v>2634</v>
      </c>
      <c r="E260" s="58" t="s">
        <v>108</v>
      </c>
      <c r="F260" s="58" t="s">
        <v>2630</v>
      </c>
      <c r="G260" s="57" t="s">
        <v>2237</v>
      </c>
    </row>
    <row r="261" spans="1:7">
      <c r="A261" s="57" t="s">
        <v>2384</v>
      </c>
      <c r="B261" s="57" t="s">
        <v>2385</v>
      </c>
      <c r="C261" s="57" t="s">
        <v>2386</v>
      </c>
      <c r="D261" s="57" t="s">
        <v>2634</v>
      </c>
      <c r="E261" s="58" t="s">
        <v>2386</v>
      </c>
      <c r="F261" s="58" t="s">
        <v>2630</v>
      </c>
      <c r="G261" s="57" t="s">
        <v>2387</v>
      </c>
    </row>
    <row r="262" spans="1:7" ht="17.100000000000001">
      <c r="A262" s="75" t="s">
        <v>2467</v>
      </c>
      <c r="B262" s="75"/>
      <c r="C262" s="75"/>
      <c r="D262" s="75"/>
      <c r="E262" s="76"/>
      <c r="F262" s="75"/>
      <c r="G262" s="75"/>
    </row>
    <row r="263" spans="1:7">
      <c r="A263" s="57" t="s">
        <v>2389</v>
      </c>
      <c r="B263" s="57" t="s">
        <v>2241</v>
      </c>
      <c r="C263" s="57" t="s">
        <v>2390</v>
      </c>
      <c r="D263" s="57" t="s">
        <v>2641</v>
      </c>
      <c r="E263" s="58" t="s">
        <v>2392</v>
      </c>
      <c r="F263" s="58" t="s">
        <v>2630</v>
      </c>
      <c r="G263" s="57" t="s">
        <v>2393</v>
      </c>
    </row>
    <row r="264" spans="1:7">
      <c r="A264" s="56" t="s">
        <v>2235</v>
      </c>
      <c r="B264" s="56" t="s">
        <v>2236</v>
      </c>
      <c r="C264" s="56" t="s">
        <v>1212</v>
      </c>
      <c r="D264" s="56" t="s">
        <v>2641</v>
      </c>
      <c r="E264" s="74" t="s">
        <v>1212</v>
      </c>
      <c r="F264" s="56" t="s">
        <v>2059</v>
      </c>
      <c r="G264" s="56" t="s">
        <v>2237</v>
      </c>
    </row>
    <row r="265" spans="1:7">
      <c r="A265" s="56" t="s">
        <v>2238</v>
      </c>
      <c r="B265" s="56"/>
      <c r="C265" s="56" t="s">
        <v>2239</v>
      </c>
      <c r="D265" s="56" t="s">
        <v>2641</v>
      </c>
      <c r="E265" s="74" t="s">
        <v>1212</v>
      </c>
      <c r="F265" s="56" t="s">
        <v>2059</v>
      </c>
      <c r="G265" s="56" t="s">
        <v>2237</v>
      </c>
    </row>
    <row r="266" spans="1:7" ht="17.100000000000001">
      <c r="A266" s="75" t="s">
        <v>2469</v>
      </c>
      <c r="B266" s="75"/>
      <c r="C266" s="75"/>
      <c r="D266" s="75"/>
      <c r="E266" s="76"/>
      <c r="F266" s="75"/>
      <c r="G266" s="75"/>
    </row>
    <row r="267" spans="1:7">
      <c r="A267" s="57" t="s">
        <v>2253</v>
      </c>
      <c r="B267" s="57" t="s">
        <v>2236</v>
      </c>
      <c r="C267" s="57" t="s">
        <v>2254</v>
      </c>
      <c r="D267" s="57" t="s">
        <v>2641</v>
      </c>
      <c r="E267" s="58" t="s">
        <v>2395</v>
      </c>
      <c r="F267" s="58" t="s">
        <v>2630</v>
      </c>
      <c r="G267" s="57" t="s">
        <v>2237</v>
      </c>
    </row>
    <row r="268" spans="1:7" ht="17.100000000000001">
      <c r="A268" s="75" t="s">
        <v>2471</v>
      </c>
      <c r="B268" s="75"/>
      <c r="C268" s="75"/>
      <c r="D268" s="75"/>
      <c r="E268" s="76"/>
      <c r="F268" s="75"/>
      <c r="G268" s="75"/>
    </row>
    <row r="269" spans="1:7">
      <c r="A269" s="57" t="s">
        <v>2262</v>
      </c>
      <c r="B269" s="57" t="s">
        <v>2261</v>
      </c>
      <c r="C269" s="57" t="s">
        <v>2263</v>
      </c>
      <c r="D269" s="57" t="s">
        <v>2641</v>
      </c>
      <c r="E269" s="58" t="s">
        <v>2642</v>
      </c>
      <c r="F269" s="58" t="s">
        <v>2630</v>
      </c>
      <c r="G269" s="57" t="s">
        <v>2237</v>
      </c>
    </row>
    <row r="270" spans="1:7" ht="17.100000000000001">
      <c r="A270" s="75" t="s">
        <v>2473</v>
      </c>
      <c r="B270" s="75"/>
      <c r="C270" s="75"/>
      <c r="D270" s="75"/>
      <c r="E270" s="76"/>
      <c r="F270" s="75"/>
      <c r="G270" s="75"/>
    </row>
    <row r="271" spans="1:7">
      <c r="A271" s="57" t="s">
        <v>2474</v>
      </c>
      <c r="B271" s="57" t="s">
        <v>2375</v>
      </c>
      <c r="C271" s="57" t="s">
        <v>2475</v>
      </c>
      <c r="D271" s="57" t="s">
        <v>2641</v>
      </c>
      <c r="E271" s="58" t="s">
        <v>2472</v>
      </c>
      <c r="F271" s="58" t="s">
        <v>2630</v>
      </c>
      <c r="G271" s="57" t="s">
        <v>2237</v>
      </c>
    </row>
    <row r="272" spans="1:7">
      <c r="A272" s="57" t="s">
        <v>2276</v>
      </c>
      <c r="B272" s="57" t="s">
        <v>2273</v>
      </c>
      <c r="C272" s="57" t="s">
        <v>2277</v>
      </c>
      <c r="D272" s="57" t="s">
        <v>2641</v>
      </c>
      <c r="E272" s="58" t="s">
        <v>2472</v>
      </c>
      <c r="F272" s="58" t="s">
        <v>2630</v>
      </c>
      <c r="G272" s="57" t="s">
        <v>2278</v>
      </c>
    </row>
    <row r="273" spans="1:7" ht="17.100000000000001">
      <c r="A273" s="75" t="s">
        <v>2477</v>
      </c>
      <c r="B273" s="75"/>
      <c r="C273" s="75"/>
      <c r="D273" s="75"/>
      <c r="E273" s="76"/>
      <c r="F273" s="75"/>
      <c r="G273" s="75"/>
    </row>
    <row r="274" spans="1:7">
      <c r="A274" s="57" t="s">
        <v>2287</v>
      </c>
      <c r="B274" s="57" t="s">
        <v>2248</v>
      </c>
      <c r="C274" s="57" t="s">
        <v>2288</v>
      </c>
      <c r="D274" s="57" t="s">
        <v>2641</v>
      </c>
      <c r="E274" s="58" t="s">
        <v>2395</v>
      </c>
      <c r="F274" s="58" t="s">
        <v>2630</v>
      </c>
      <c r="G274" s="57" t="s">
        <v>2237</v>
      </c>
    </row>
    <row r="275" spans="1:7">
      <c r="A275" s="57" t="s">
        <v>2289</v>
      </c>
      <c r="B275" s="57" t="s">
        <v>2248</v>
      </c>
      <c r="C275" s="57" t="s">
        <v>2254</v>
      </c>
      <c r="D275" s="57" t="s">
        <v>2641</v>
      </c>
      <c r="E275" s="58" t="s">
        <v>2395</v>
      </c>
      <c r="F275" s="58" t="s">
        <v>2630</v>
      </c>
      <c r="G275" s="57" t="s">
        <v>2237</v>
      </c>
    </row>
    <row r="276" spans="1:7">
      <c r="A276" s="57" t="s">
        <v>2290</v>
      </c>
      <c r="B276" s="57" t="s">
        <v>2248</v>
      </c>
      <c r="C276" s="57" t="s">
        <v>2254</v>
      </c>
      <c r="D276" s="57" t="s">
        <v>2641</v>
      </c>
      <c r="E276" s="58" t="s">
        <v>2395</v>
      </c>
      <c r="F276" s="58" t="s">
        <v>2630</v>
      </c>
      <c r="G276" s="57" t="s">
        <v>2237</v>
      </c>
    </row>
    <row r="277" spans="1:7">
      <c r="A277" s="57" t="s">
        <v>2291</v>
      </c>
      <c r="B277" s="57" t="s">
        <v>2292</v>
      </c>
      <c r="C277" s="57" t="s">
        <v>2254</v>
      </c>
      <c r="D277" s="57" t="s">
        <v>2641</v>
      </c>
      <c r="E277" s="58" t="s">
        <v>2395</v>
      </c>
      <c r="F277" s="58" t="s">
        <v>2630</v>
      </c>
      <c r="G277" s="57" t="s">
        <v>2237</v>
      </c>
    </row>
    <row r="278" spans="1:7">
      <c r="A278" s="57" t="s">
        <v>2293</v>
      </c>
      <c r="B278" s="57"/>
      <c r="C278" s="57" t="s">
        <v>2254</v>
      </c>
      <c r="D278" s="57" t="s">
        <v>2641</v>
      </c>
      <c r="E278" s="58" t="s">
        <v>2395</v>
      </c>
      <c r="F278" s="58" t="s">
        <v>2630</v>
      </c>
      <c r="G278" s="57" t="s">
        <v>2237</v>
      </c>
    </row>
    <row r="279" spans="1:7">
      <c r="A279" s="57" t="s">
        <v>2294</v>
      </c>
      <c r="B279" s="57"/>
      <c r="C279" s="57" t="s">
        <v>2254</v>
      </c>
      <c r="D279" s="57" t="s">
        <v>2641</v>
      </c>
      <c r="E279" s="58" t="s">
        <v>2395</v>
      </c>
      <c r="F279" s="58" t="s">
        <v>2630</v>
      </c>
      <c r="G279" s="57" t="s">
        <v>2237</v>
      </c>
    </row>
    <row r="280" spans="1:7">
      <c r="A280" s="57" t="s">
        <v>2295</v>
      </c>
      <c r="B280" s="57"/>
      <c r="C280" s="57" t="s">
        <v>2254</v>
      </c>
      <c r="D280" s="57" t="s">
        <v>2641</v>
      </c>
      <c r="E280" s="58" t="s">
        <v>2395</v>
      </c>
      <c r="F280" s="58" t="s">
        <v>2630</v>
      </c>
      <c r="G280" s="57" t="s">
        <v>2237</v>
      </c>
    </row>
    <row r="281" spans="1:7" ht="17.100000000000001">
      <c r="A281" s="75" t="s">
        <v>2478</v>
      </c>
      <c r="B281" s="75"/>
      <c r="C281" s="75"/>
      <c r="D281" s="75"/>
      <c r="E281" s="76"/>
      <c r="F281" s="75"/>
      <c r="G281" s="75"/>
    </row>
    <row r="282" spans="1:7">
      <c r="A282" s="57" t="s">
        <v>2304</v>
      </c>
      <c r="B282" s="57"/>
      <c r="C282" s="57" t="s">
        <v>2254</v>
      </c>
      <c r="D282" s="57" t="s">
        <v>2641</v>
      </c>
      <c r="E282" s="58" t="s">
        <v>2395</v>
      </c>
      <c r="F282" s="58" t="s">
        <v>2630</v>
      </c>
      <c r="G282" s="57" t="s">
        <v>2237</v>
      </c>
    </row>
    <row r="283" spans="1:7">
      <c r="A283" s="57" t="s">
        <v>2305</v>
      </c>
      <c r="B283" s="57"/>
      <c r="C283" s="57" t="s">
        <v>2254</v>
      </c>
      <c r="D283" s="57" t="s">
        <v>2641</v>
      </c>
      <c r="E283" s="58" t="s">
        <v>2395</v>
      </c>
      <c r="F283" s="58" t="s">
        <v>2630</v>
      </c>
      <c r="G283" s="57" t="s">
        <v>2237</v>
      </c>
    </row>
    <row r="284" spans="1:7" ht="17.100000000000001">
      <c r="A284" s="75" t="s">
        <v>2479</v>
      </c>
      <c r="B284" s="75"/>
      <c r="C284" s="75"/>
      <c r="D284" s="75"/>
      <c r="E284" s="76"/>
      <c r="F284" s="75"/>
      <c r="G284" s="75"/>
    </row>
    <row r="285" spans="1:7">
      <c r="A285" s="57" t="s">
        <v>2320</v>
      </c>
      <c r="B285" s="57"/>
      <c r="C285" s="57" t="s">
        <v>2254</v>
      </c>
      <c r="D285" s="57" t="s">
        <v>2641</v>
      </c>
      <c r="E285" s="58" t="s">
        <v>2395</v>
      </c>
      <c r="F285" s="58" t="s">
        <v>2630</v>
      </c>
      <c r="G285" s="57" t="s">
        <v>2237</v>
      </c>
    </row>
    <row r="286" spans="1:7" ht="17.100000000000001">
      <c r="A286" s="75" t="s">
        <v>2480</v>
      </c>
      <c r="B286" s="75"/>
      <c r="C286" s="75"/>
      <c r="D286" s="75"/>
      <c r="E286" s="76"/>
      <c r="F286" s="75"/>
      <c r="G286" s="75"/>
    </row>
    <row r="287" spans="1:7">
      <c r="A287" s="57" t="s">
        <v>2403</v>
      </c>
      <c r="B287" s="57" t="s">
        <v>2331</v>
      </c>
      <c r="C287" s="57" t="s">
        <v>2390</v>
      </c>
      <c r="D287" s="57" t="s">
        <v>2641</v>
      </c>
      <c r="E287" s="58" t="s">
        <v>2392</v>
      </c>
      <c r="F287" s="58" t="s">
        <v>2630</v>
      </c>
      <c r="G287" s="57" t="s">
        <v>2404</v>
      </c>
    </row>
    <row r="288" spans="1:7">
      <c r="A288" s="57" t="s">
        <v>2405</v>
      </c>
      <c r="B288" s="57" t="s">
        <v>2406</v>
      </c>
      <c r="C288" s="57" t="s">
        <v>2390</v>
      </c>
      <c r="D288" s="57" t="s">
        <v>2641</v>
      </c>
      <c r="E288" s="58" t="s">
        <v>2392</v>
      </c>
      <c r="F288" s="58" t="s">
        <v>2630</v>
      </c>
      <c r="G288" s="57" t="s">
        <v>2407</v>
      </c>
    </row>
    <row r="289" spans="1:7">
      <c r="A289" s="57" t="s">
        <v>2342</v>
      </c>
      <c r="B289" s="57"/>
      <c r="C289" s="57" t="s">
        <v>2254</v>
      </c>
      <c r="D289" s="57" t="s">
        <v>2641</v>
      </c>
      <c r="E289" s="58" t="s">
        <v>2395</v>
      </c>
      <c r="F289" s="58" t="s">
        <v>2630</v>
      </c>
      <c r="G289" s="57" t="s">
        <v>2237</v>
      </c>
    </row>
    <row r="290" spans="1:7" ht="17.100000000000001">
      <c r="A290" s="75" t="s">
        <v>2481</v>
      </c>
      <c r="B290" s="75"/>
      <c r="C290" s="75"/>
      <c r="D290" s="75"/>
      <c r="E290" s="76"/>
      <c r="F290" s="75"/>
      <c r="G290" s="75"/>
    </row>
    <row r="291" spans="1:7">
      <c r="A291" s="57" t="s">
        <v>2409</v>
      </c>
      <c r="B291" s="57" t="s">
        <v>2236</v>
      </c>
      <c r="C291" s="57" t="s">
        <v>2390</v>
      </c>
      <c r="D291" s="57" t="s">
        <v>2641</v>
      </c>
      <c r="E291" s="58" t="s">
        <v>2392</v>
      </c>
      <c r="F291" s="58" t="s">
        <v>2630</v>
      </c>
      <c r="G291" s="57" t="s">
        <v>2237</v>
      </c>
    </row>
    <row r="292" spans="1:7">
      <c r="A292" s="57" t="s">
        <v>2410</v>
      </c>
      <c r="B292" s="57" t="s">
        <v>2236</v>
      </c>
      <c r="C292" s="57" t="s">
        <v>2411</v>
      </c>
      <c r="D292" s="57" t="s">
        <v>2641</v>
      </c>
      <c r="E292" s="58" t="s">
        <v>2412</v>
      </c>
      <c r="F292" s="58" t="s">
        <v>2630</v>
      </c>
      <c r="G292" s="57" t="s">
        <v>2413</v>
      </c>
    </row>
    <row r="293" spans="1:7" ht="17.100000000000001">
      <c r="A293" s="75" t="s">
        <v>2482</v>
      </c>
      <c r="B293" s="75"/>
      <c r="C293" s="75"/>
      <c r="D293" s="75"/>
      <c r="E293" s="76"/>
      <c r="F293" s="75"/>
      <c r="G293" s="75"/>
    </row>
    <row r="294" spans="1:7">
      <c r="A294" s="56" t="s">
        <v>2361</v>
      </c>
      <c r="B294" s="56" t="s">
        <v>2362</v>
      </c>
      <c r="C294" s="56" t="s">
        <v>2363</v>
      </c>
      <c r="D294" s="56" t="s">
        <v>2641</v>
      </c>
      <c r="E294" s="74" t="s">
        <v>2640</v>
      </c>
      <c r="F294" s="56" t="s">
        <v>2059</v>
      </c>
      <c r="G294" s="56" t="s">
        <v>2365</v>
      </c>
    </row>
    <row r="295" spans="1:7" ht="17.100000000000001">
      <c r="A295" s="75" t="s">
        <v>2483</v>
      </c>
      <c r="B295" s="75"/>
      <c r="C295" s="75"/>
      <c r="D295" s="75"/>
      <c r="E295" s="76"/>
      <c r="F295" s="75"/>
      <c r="G295" s="75"/>
    </row>
    <row r="296" spans="1:7">
      <c r="A296" s="57" t="s">
        <v>2416</v>
      </c>
      <c r="B296" s="57"/>
      <c r="C296" s="57" t="s">
        <v>2390</v>
      </c>
      <c r="D296" s="57" t="s">
        <v>2641</v>
      </c>
      <c r="E296" s="58" t="s">
        <v>2392</v>
      </c>
      <c r="F296" s="58" t="s">
        <v>2630</v>
      </c>
      <c r="G296" s="57" t="s">
        <v>2417</v>
      </c>
    </row>
    <row r="297" spans="1:7">
      <c r="A297" s="57" t="s">
        <v>2418</v>
      </c>
      <c r="B297" s="57" t="s">
        <v>2385</v>
      </c>
      <c r="C297" s="57" t="s">
        <v>2390</v>
      </c>
      <c r="D297" s="57" t="s">
        <v>2641</v>
      </c>
      <c r="E297" s="58" t="s">
        <v>2392</v>
      </c>
      <c r="F297" s="58" t="s">
        <v>2630</v>
      </c>
      <c r="G297" s="57" t="s">
        <v>2419</v>
      </c>
    </row>
    <row r="298" spans="1:7">
      <c r="A298" s="57" t="s">
        <v>2382</v>
      </c>
      <c r="B298" s="57"/>
      <c r="C298" s="57" t="s">
        <v>2254</v>
      </c>
      <c r="D298" s="57" t="s">
        <v>2641</v>
      </c>
      <c r="E298" s="58" t="s">
        <v>2395</v>
      </c>
      <c r="F298" s="58" t="s">
        <v>2630</v>
      </c>
      <c r="G298" s="57" t="s">
        <v>2237</v>
      </c>
    </row>
    <row r="299" spans="1:7" ht="17.100000000000001">
      <c r="A299" s="75" t="s">
        <v>2484</v>
      </c>
      <c r="B299" s="75"/>
      <c r="C299" s="75"/>
      <c r="D299" s="75"/>
      <c r="E299" s="76"/>
      <c r="F299" s="75"/>
      <c r="G299" s="75"/>
    </row>
    <row r="300" spans="1:7">
      <c r="A300" s="56" t="s">
        <v>2235</v>
      </c>
      <c r="B300" s="56" t="s">
        <v>2236</v>
      </c>
      <c r="C300" s="56" t="s">
        <v>1212</v>
      </c>
      <c r="D300" s="56" t="s">
        <v>2643</v>
      </c>
      <c r="E300" s="74" t="s">
        <v>1212</v>
      </c>
      <c r="F300" s="56" t="s">
        <v>2087</v>
      </c>
      <c r="G300" s="56" t="s">
        <v>2237</v>
      </c>
    </row>
    <row r="301" spans="1:7">
      <c r="A301" s="56" t="s">
        <v>2238</v>
      </c>
      <c r="B301" s="56"/>
      <c r="C301" s="56" t="s">
        <v>2239</v>
      </c>
      <c r="D301" s="56" t="s">
        <v>2643</v>
      </c>
      <c r="E301" s="74" t="s">
        <v>1212</v>
      </c>
      <c r="F301" s="56" t="s">
        <v>2087</v>
      </c>
      <c r="G301" s="56" t="s">
        <v>2237</v>
      </c>
    </row>
    <row r="302" spans="1:7" ht="17.100000000000001">
      <c r="A302" s="75" t="s">
        <v>2501</v>
      </c>
      <c r="B302" s="75"/>
      <c r="C302" s="75"/>
      <c r="D302" s="75"/>
      <c r="E302" s="76"/>
      <c r="F302" s="75"/>
      <c r="G302" s="75"/>
    </row>
    <row r="303" spans="1:7">
      <c r="A303" s="56" t="s">
        <v>2361</v>
      </c>
      <c r="B303" s="56" t="s">
        <v>2362</v>
      </c>
      <c r="C303" s="56" t="s">
        <v>2363</v>
      </c>
      <c r="D303" s="56" t="s">
        <v>2643</v>
      </c>
      <c r="E303" s="74" t="s">
        <v>2644</v>
      </c>
      <c r="F303" s="56" t="s">
        <v>2087</v>
      </c>
      <c r="G303" s="56" t="s">
        <v>2365</v>
      </c>
    </row>
    <row r="304" spans="1:7" ht="17.100000000000001">
      <c r="A304" s="75" t="s">
        <v>2504</v>
      </c>
      <c r="B304" s="75"/>
      <c r="C304" s="75"/>
      <c r="D304" s="75"/>
      <c r="E304" s="76"/>
      <c r="F304" s="75"/>
      <c r="G304" s="75"/>
    </row>
    <row r="305" spans="1:7">
      <c r="A305" s="56" t="s">
        <v>2235</v>
      </c>
      <c r="B305" s="56" t="s">
        <v>2236</v>
      </c>
      <c r="C305" s="56" t="s">
        <v>1212</v>
      </c>
      <c r="D305" s="56" t="s">
        <v>2645</v>
      </c>
      <c r="E305" s="74" t="s">
        <v>1212</v>
      </c>
      <c r="F305" s="56" t="s">
        <v>2109</v>
      </c>
      <c r="G305" s="56" t="s">
        <v>2237</v>
      </c>
    </row>
    <row r="306" spans="1:7">
      <c r="A306" s="56" t="s">
        <v>2238</v>
      </c>
      <c r="B306" s="56"/>
      <c r="C306" s="56" t="s">
        <v>2239</v>
      </c>
      <c r="D306" s="56" t="s">
        <v>2645</v>
      </c>
      <c r="E306" s="74" t="s">
        <v>1212</v>
      </c>
      <c r="F306" s="56" t="s">
        <v>2109</v>
      </c>
      <c r="G306" s="56" t="s">
        <v>2237</v>
      </c>
    </row>
    <row r="307" spans="1:7" ht="17.100000000000001">
      <c r="A307" s="75" t="s">
        <v>2507</v>
      </c>
      <c r="B307" s="75"/>
      <c r="C307" s="75"/>
      <c r="D307" s="75"/>
      <c r="E307" s="76"/>
      <c r="F307" s="75"/>
      <c r="G307" s="75"/>
    </row>
    <row r="308" spans="1:7">
      <c r="A308" s="57" t="s">
        <v>2262</v>
      </c>
      <c r="B308" s="57" t="s">
        <v>2261</v>
      </c>
      <c r="C308" s="57" t="s">
        <v>2263</v>
      </c>
      <c r="D308" s="57" t="s">
        <v>2645</v>
      </c>
      <c r="E308" s="58" t="s">
        <v>2642</v>
      </c>
      <c r="F308" s="58" t="s">
        <v>2630</v>
      </c>
      <c r="G308" s="57" t="s">
        <v>2237</v>
      </c>
    </row>
    <row r="309" spans="1:7" ht="17.100000000000001">
      <c r="A309" s="75" t="s">
        <v>2508</v>
      </c>
      <c r="B309" s="75"/>
      <c r="C309" s="75"/>
      <c r="D309" s="75"/>
      <c r="E309" s="76"/>
      <c r="F309" s="75"/>
      <c r="G309" s="75"/>
    </row>
    <row r="310" spans="1:7">
      <c r="A310" s="57" t="s">
        <v>2474</v>
      </c>
      <c r="B310" s="57" t="s">
        <v>2375</v>
      </c>
      <c r="C310" s="57" t="s">
        <v>2475</v>
      </c>
      <c r="D310" s="57" t="s">
        <v>2645</v>
      </c>
      <c r="E310" s="58" t="s">
        <v>2472</v>
      </c>
      <c r="F310" s="58" t="s">
        <v>2630</v>
      </c>
      <c r="G310" s="57" t="s">
        <v>2237</v>
      </c>
    </row>
    <row r="311" spans="1:7">
      <c r="A311" s="57" t="s">
        <v>2276</v>
      </c>
      <c r="B311" s="57" t="s">
        <v>2273</v>
      </c>
      <c r="C311" s="57" t="s">
        <v>2277</v>
      </c>
      <c r="D311" s="57" t="s">
        <v>2645</v>
      </c>
      <c r="E311" s="58" t="s">
        <v>2472</v>
      </c>
      <c r="F311" s="58" t="s">
        <v>2630</v>
      </c>
      <c r="G311" s="57" t="s">
        <v>2278</v>
      </c>
    </row>
    <row r="312" spans="1:7" ht="17.100000000000001">
      <c r="A312" s="75" t="s">
        <v>2516</v>
      </c>
      <c r="B312" s="75"/>
      <c r="C312" s="75"/>
      <c r="D312" s="75"/>
      <c r="E312" s="76"/>
      <c r="F312" s="75"/>
      <c r="G312" s="75"/>
    </row>
    <row r="313" spans="1:7">
      <c r="A313" s="56" t="s">
        <v>2361</v>
      </c>
      <c r="B313" s="56" t="s">
        <v>2362</v>
      </c>
      <c r="C313" s="56" t="s">
        <v>2363</v>
      </c>
      <c r="D313" s="56" t="s">
        <v>2645</v>
      </c>
      <c r="E313" s="74" t="s">
        <v>2640</v>
      </c>
      <c r="F313" s="56" t="s">
        <v>2109</v>
      </c>
      <c r="G313" s="56" t="s">
        <v>2365</v>
      </c>
    </row>
    <row r="314" spans="1:7" ht="17.100000000000001">
      <c r="A314" s="75" t="s">
        <v>2518</v>
      </c>
      <c r="B314" s="75"/>
      <c r="C314" s="75"/>
      <c r="D314" s="75"/>
      <c r="E314" s="76"/>
      <c r="F314" s="75"/>
      <c r="G314" s="75"/>
    </row>
    <row r="315" spans="1:7">
      <c r="A315" s="57" t="s">
        <v>2389</v>
      </c>
      <c r="B315" s="57" t="s">
        <v>2241</v>
      </c>
      <c r="C315" s="57" t="s">
        <v>2390</v>
      </c>
      <c r="D315" s="57" t="s">
        <v>2646</v>
      </c>
      <c r="E315" s="58" t="s">
        <v>2392</v>
      </c>
      <c r="F315" s="58" t="s">
        <v>2630</v>
      </c>
      <c r="G315" s="57" t="s">
        <v>2393</v>
      </c>
    </row>
    <row r="316" spans="1:7">
      <c r="A316" s="56" t="s">
        <v>2235</v>
      </c>
      <c r="B316" s="56" t="s">
        <v>2236</v>
      </c>
      <c r="C316" s="56" t="s">
        <v>1212</v>
      </c>
      <c r="D316" s="56" t="s">
        <v>2646</v>
      </c>
      <c r="E316" s="74" t="s">
        <v>1212</v>
      </c>
      <c r="F316" s="56" t="s">
        <v>2129</v>
      </c>
      <c r="G316" s="56" t="s">
        <v>2237</v>
      </c>
    </row>
    <row r="317" spans="1:7">
      <c r="A317" s="56" t="s">
        <v>2238</v>
      </c>
      <c r="B317" s="56"/>
      <c r="C317" s="56" t="s">
        <v>2239</v>
      </c>
      <c r="D317" s="56" t="s">
        <v>2646</v>
      </c>
      <c r="E317" s="74" t="s">
        <v>1212</v>
      </c>
      <c r="F317" s="56" t="s">
        <v>2129</v>
      </c>
      <c r="G317" s="56" t="s">
        <v>2237</v>
      </c>
    </row>
    <row r="318" spans="1:7" ht="17.100000000000001">
      <c r="A318" s="75" t="s">
        <v>2520</v>
      </c>
      <c r="B318" s="75"/>
      <c r="C318" s="75"/>
      <c r="D318" s="75"/>
      <c r="E318" s="76"/>
      <c r="F318" s="75"/>
      <c r="G318" s="75"/>
    </row>
    <row r="319" spans="1:7">
      <c r="A319" s="57" t="s">
        <v>2253</v>
      </c>
      <c r="B319" s="57" t="s">
        <v>2236</v>
      </c>
      <c r="C319" s="57" t="s">
        <v>2254</v>
      </c>
      <c r="D319" s="57" t="s">
        <v>2646</v>
      </c>
      <c r="E319" s="58" t="s">
        <v>2395</v>
      </c>
      <c r="F319" s="58" t="s">
        <v>2630</v>
      </c>
      <c r="G319" s="57" t="s">
        <v>2237</v>
      </c>
    </row>
    <row r="320" spans="1:7" ht="17.100000000000001">
      <c r="A320" s="75" t="s">
        <v>2524</v>
      </c>
      <c r="B320" s="75"/>
      <c r="C320" s="75"/>
      <c r="D320" s="75"/>
      <c r="E320" s="76"/>
      <c r="F320" s="75"/>
      <c r="G320" s="75"/>
    </row>
    <row r="321" spans="1:7">
      <c r="A321" s="57" t="s">
        <v>2287</v>
      </c>
      <c r="B321" s="57" t="s">
        <v>2248</v>
      </c>
      <c r="C321" s="57" t="s">
        <v>2288</v>
      </c>
      <c r="D321" s="57" t="s">
        <v>2646</v>
      </c>
      <c r="E321" s="58" t="s">
        <v>2395</v>
      </c>
      <c r="F321" s="58" t="s">
        <v>2630</v>
      </c>
      <c r="G321" s="57" t="s">
        <v>2237</v>
      </c>
    </row>
    <row r="322" spans="1:7">
      <c r="A322" s="57" t="s">
        <v>2289</v>
      </c>
      <c r="B322" s="57" t="s">
        <v>2248</v>
      </c>
      <c r="C322" s="57" t="s">
        <v>2254</v>
      </c>
      <c r="D322" s="57" t="s">
        <v>2646</v>
      </c>
      <c r="E322" s="58" t="s">
        <v>2395</v>
      </c>
      <c r="F322" s="58" t="s">
        <v>2630</v>
      </c>
      <c r="G322" s="57" t="s">
        <v>2237</v>
      </c>
    </row>
    <row r="323" spans="1:7">
      <c r="A323" s="57" t="s">
        <v>2290</v>
      </c>
      <c r="B323" s="57" t="s">
        <v>2248</v>
      </c>
      <c r="C323" s="57" t="s">
        <v>2254</v>
      </c>
      <c r="D323" s="57" t="s">
        <v>2646</v>
      </c>
      <c r="E323" s="58" t="s">
        <v>2395</v>
      </c>
      <c r="F323" s="58" t="s">
        <v>2630</v>
      </c>
      <c r="G323" s="57" t="s">
        <v>2237</v>
      </c>
    </row>
    <row r="324" spans="1:7">
      <c r="A324" s="57" t="s">
        <v>2291</v>
      </c>
      <c r="B324" s="57" t="s">
        <v>2292</v>
      </c>
      <c r="C324" s="57" t="s">
        <v>2254</v>
      </c>
      <c r="D324" s="57" t="s">
        <v>2646</v>
      </c>
      <c r="E324" s="58" t="s">
        <v>2395</v>
      </c>
      <c r="F324" s="58" t="s">
        <v>2630</v>
      </c>
      <c r="G324" s="57" t="s">
        <v>2237</v>
      </c>
    </row>
    <row r="325" spans="1:7">
      <c r="A325" s="57" t="s">
        <v>2293</v>
      </c>
      <c r="B325" s="57"/>
      <c r="C325" s="57" t="s">
        <v>2254</v>
      </c>
      <c r="D325" s="57" t="s">
        <v>2646</v>
      </c>
      <c r="E325" s="58" t="s">
        <v>2395</v>
      </c>
      <c r="F325" s="58" t="s">
        <v>2630</v>
      </c>
      <c r="G325" s="57" t="s">
        <v>2237</v>
      </c>
    </row>
    <row r="326" spans="1:7">
      <c r="A326" s="57" t="s">
        <v>2294</v>
      </c>
      <c r="B326" s="57"/>
      <c r="C326" s="57" t="s">
        <v>2254</v>
      </c>
      <c r="D326" s="57" t="s">
        <v>2646</v>
      </c>
      <c r="E326" s="58" t="s">
        <v>2395</v>
      </c>
      <c r="F326" s="58" t="s">
        <v>2630</v>
      </c>
      <c r="G326" s="57" t="s">
        <v>2237</v>
      </c>
    </row>
    <row r="327" spans="1:7">
      <c r="A327" s="57" t="s">
        <v>2295</v>
      </c>
      <c r="B327" s="57"/>
      <c r="C327" s="57" t="s">
        <v>2254</v>
      </c>
      <c r="D327" s="57" t="s">
        <v>2646</v>
      </c>
      <c r="E327" s="58" t="s">
        <v>2395</v>
      </c>
      <c r="F327" s="58" t="s">
        <v>2630</v>
      </c>
      <c r="G327" s="57" t="s">
        <v>2237</v>
      </c>
    </row>
    <row r="328" spans="1:7" ht="17.100000000000001">
      <c r="A328" s="75" t="s">
        <v>2525</v>
      </c>
      <c r="B328" s="75"/>
      <c r="C328" s="75"/>
      <c r="D328" s="75"/>
      <c r="E328" s="76"/>
      <c r="F328" s="75"/>
      <c r="G328" s="75"/>
    </row>
    <row r="329" spans="1:7">
      <c r="A329" s="57" t="s">
        <v>2304</v>
      </c>
      <c r="B329" s="57"/>
      <c r="C329" s="57" t="s">
        <v>2254</v>
      </c>
      <c r="D329" s="57" t="s">
        <v>2646</v>
      </c>
      <c r="E329" s="58" t="s">
        <v>2395</v>
      </c>
      <c r="F329" s="58" t="s">
        <v>2630</v>
      </c>
      <c r="G329" s="57" t="s">
        <v>2237</v>
      </c>
    </row>
    <row r="330" spans="1:7">
      <c r="A330" s="57" t="s">
        <v>2305</v>
      </c>
      <c r="B330" s="57"/>
      <c r="C330" s="57" t="s">
        <v>2254</v>
      </c>
      <c r="D330" s="57" t="s">
        <v>2646</v>
      </c>
      <c r="E330" s="58" t="s">
        <v>2395</v>
      </c>
      <c r="F330" s="58" t="s">
        <v>2630</v>
      </c>
      <c r="G330" s="57" t="s">
        <v>2237</v>
      </c>
    </row>
    <row r="331" spans="1:7" ht="17.100000000000001">
      <c r="A331" s="75" t="s">
        <v>2526</v>
      </c>
      <c r="B331" s="75"/>
      <c r="C331" s="75"/>
      <c r="D331" s="75"/>
      <c r="E331" s="76"/>
      <c r="F331" s="75"/>
      <c r="G331" s="75"/>
    </row>
    <row r="332" spans="1:7">
      <c r="A332" s="57" t="s">
        <v>2320</v>
      </c>
      <c r="B332" s="57"/>
      <c r="C332" s="57" t="s">
        <v>2254</v>
      </c>
      <c r="D332" s="57" t="s">
        <v>2646</v>
      </c>
      <c r="E332" s="58" t="s">
        <v>2395</v>
      </c>
      <c r="F332" s="58" t="s">
        <v>2630</v>
      </c>
      <c r="G332" s="57" t="s">
        <v>2237</v>
      </c>
    </row>
    <row r="333" spans="1:7" ht="17.100000000000001">
      <c r="A333" s="75" t="s">
        <v>2528</v>
      </c>
      <c r="B333" s="75"/>
      <c r="C333" s="75"/>
      <c r="D333" s="75"/>
      <c r="E333" s="76"/>
      <c r="F333" s="75"/>
      <c r="G333" s="75"/>
    </row>
    <row r="334" spans="1:7">
      <c r="A334" s="57" t="s">
        <v>2403</v>
      </c>
      <c r="B334" s="57" t="s">
        <v>2331</v>
      </c>
      <c r="C334" s="57" t="s">
        <v>2390</v>
      </c>
      <c r="D334" s="57" t="s">
        <v>2646</v>
      </c>
      <c r="E334" s="58" t="s">
        <v>2392</v>
      </c>
      <c r="F334" s="58" t="s">
        <v>2630</v>
      </c>
      <c r="G334" s="57" t="s">
        <v>2404</v>
      </c>
    </row>
    <row r="335" spans="1:7">
      <c r="A335" s="57" t="s">
        <v>2405</v>
      </c>
      <c r="B335" s="57" t="s">
        <v>2406</v>
      </c>
      <c r="C335" s="57" t="s">
        <v>2390</v>
      </c>
      <c r="D335" s="57" t="s">
        <v>2646</v>
      </c>
      <c r="E335" s="58" t="s">
        <v>2392</v>
      </c>
      <c r="F335" s="58" t="s">
        <v>2630</v>
      </c>
      <c r="G335" s="57" t="s">
        <v>2407</v>
      </c>
    </row>
    <row r="336" spans="1:7">
      <c r="A336" s="57" t="s">
        <v>2342</v>
      </c>
      <c r="B336" s="57"/>
      <c r="C336" s="57" t="s">
        <v>2254</v>
      </c>
      <c r="D336" s="57" t="s">
        <v>2646</v>
      </c>
      <c r="E336" s="58" t="s">
        <v>2395</v>
      </c>
      <c r="F336" s="58" t="s">
        <v>2630</v>
      </c>
      <c r="G336" s="57" t="s">
        <v>2237</v>
      </c>
    </row>
    <row r="337" spans="1:7" ht="17.100000000000001">
      <c r="A337" s="75" t="s">
        <v>2529</v>
      </c>
      <c r="B337" s="75"/>
      <c r="C337" s="75"/>
      <c r="D337" s="75"/>
      <c r="E337" s="76"/>
      <c r="F337" s="75"/>
      <c r="G337" s="75"/>
    </row>
    <row r="338" spans="1:7">
      <c r="A338" s="57" t="s">
        <v>2409</v>
      </c>
      <c r="B338" s="57" t="s">
        <v>2236</v>
      </c>
      <c r="C338" s="57" t="s">
        <v>2390</v>
      </c>
      <c r="D338" s="57" t="s">
        <v>2646</v>
      </c>
      <c r="E338" s="58" t="s">
        <v>2392</v>
      </c>
      <c r="F338" s="58" t="s">
        <v>2630</v>
      </c>
      <c r="G338" s="57" t="s">
        <v>2237</v>
      </c>
    </row>
    <row r="339" spans="1:7">
      <c r="A339" s="57" t="s">
        <v>2410</v>
      </c>
      <c r="B339" s="57" t="s">
        <v>2236</v>
      </c>
      <c r="C339" s="57" t="s">
        <v>2411</v>
      </c>
      <c r="D339" s="57" t="s">
        <v>2646</v>
      </c>
      <c r="E339" s="58" t="s">
        <v>2412</v>
      </c>
      <c r="F339" s="58" t="s">
        <v>2630</v>
      </c>
      <c r="G339" s="57" t="s">
        <v>2413</v>
      </c>
    </row>
    <row r="340" spans="1:7" ht="17.100000000000001">
      <c r="A340" s="75" t="s">
        <v>2530</v>
      </c>
      <c r="B340" s="75"/>
      <c r="C340" s="75"/>
      <c r="D340" s="75"/>
      <c r="E340" s="76"/>
      <c r="F340" s="75"/>
      <c r="G340" s="75"/>
    </row>
    <row r="341" spans="1:7">
      <c r="A341" s="56" t="s">
        <v>2361</v>
      </c>
      <c r="B341" s="56" t="s">
        <v>2362</v>
      </c>
      <c r="C341" s="56" t="s">
        <v>2363</v>
      </c>
      <c r="D341" s="56" t="s">
        <v>2646</v>
      </c>
      <c r="E341" s="74" t="s">
        <v>2451</v>
      </c>
      <c r="F341" s="56" t="s">
        <v>2129</v>
      </c>
      <c r="G341" s="56" t="s">
        <v>2365</v>
      </c>
    </row>
    <row r="342" spans="1:7">
      <c r="A342" s="57" t="s">
        <v>2647</v>
      </c>
      <c r="B342" s="57"/>
      <c r="C342" s="57" t="s">
        <v>2648</v>
      </c>
      <c r="D342" s="57" t="s">
        <v>2646</v>
      </c>
      <c r="E342" s="58" t="s">
        <v>2649</v>
      </c>
      <c r="F342" s="58" t="s">
        <v>2630</v>
      </c>
      <c r="G342" s="57" t="s">
        <v>2237</v>
      </c>
    </row>
    <row r="343" spans="1:7" ht="17.100000000000001">
      <c r="A343" s="75" t="s">
        <v>2531</v>
      </c>
      <c r="B343" s="75"/>
      <c r="C343" s="75"/>
      <c r="D343" s="75"/>
      <c r="E343" s="76"/>
      <c r="F343" s="75"/>
      <c r="G343" s="75"/>
    </row>
    <row r="344" spans="1:7">
      <c r="A344" s="57" t="s">
        <v>2416</v>
      </c>
      <c r="B344" s="57"/>
      <c r="C344" s="57" t="s">
        <v>2390</v>
      </c>
      <c r="D344" s="57" t="s">
        <v>2646</v>
      </c>
      <c r="E344" s="58" t="s">
        <v>2392</v>
      </c>
      <c r="F344" s="58" t="s">
        <v>2630</v>
      </c>
      <c r="G344" s="57" t="s">
        <v>2417</v>
      </c>
    </row>
    <row r="345" spans="1:7">
      <c r="A345" s="57" t="s">
        <v>2418</v>
      </c>
      <c r="B345" s="57" t="s">
        <v>2385</v>
      </c>
      <c r="C345" s="57" t="s">
        <v>2390</v>
      </c>
      <c r="D345" s="57" t="s">
        <v>2646</v>
      </c>
      <c r="E345" s="58" t="s">
        <v>2392</v>
      </c>
      <c r="F345" s="58" t="s">
        <v>2630</v>
      </c>
      <c r="G345" s="57" t="s">
        <v>2419</v>
      </c>
    </row>
    <row r="346" spans="1:7">
      <c r="A346" s="57" t="s">
        <v>2382</v>
      </c>
      <c r="B346" s="57"/>
      <c r="C346" s="57" t="s">
        <v>2254</v>
      </c>
      <c r="D346" s="57" t="s">
        <v>2646</v>
      </c>
      <c r="E346" s="58" t="s">
        <v>2395</v>
      </c>
      <c r="F346" s="58" t="s">
        <v>2630</v>
      </c>
      <c r="G346" s="57" t="s">
        <v>2237</v>
      </c>
    </row>
    <row r="347" spans="1:7" ht="17.100000000000001">
      <c r="A347" s="75" t="s">
        <v>2532</v>
      </c>
      <c r="B347" s="75"/>
      <c r="C347" s="75"/>
      <c r="D347" s="75"/>
      <c r="E347" s="76"/>
      <c r="F347" s="75"/>
      <c r="G347" s="75"/>
    </row>
    <row r="348" spans="1:7">
      <c r="A348" s="57" t="s">
        <v>2230</v>
      </c>
      <c r="B348" s="57" t="s">
        <v>2231</v>
      </c>
      <c r="C348" s="57" t="s">
        <v>1562</v>
      </c>
      <c r="D348" s="57" t="s">
        <v>2650</v>
      </c>
      <c r="E348" s="58" t="s">
        <v>108</v>
      </c>
      <c r="F348" s="58" t="s">
        <v>2630</v>
      </c>
      <c r="G348" s="57" t="s">
        <v>2233</v>
      </c>
    </row>
    <row r="349" spans="1:7">
      <c r="A349" s="57" t="s">
        <v>2235</v>
      </c>
      <c r="B349" s="57" t="s">
        <v>2236</v>
      </c>
      <c r="C349" s="57" t="s">
        <v>1212</v>
      </c>
      <c r="D349" s="57" t="s">
        <v>2650</v>
      </c>
      <c r="E349" s="58" t="s">
        <v>1212</v>
      </c>
      <c r="F349" s="58" t="s">
        <v>2630</v>
      </c>
      <c r="G349" s="57" t="s">
        <v>2237</v>
      </c>
    </row>
    <row r="350" spans="1:7">
      <c r="A350" s="57" t="s">
        <v>2238</v>
      </c>
      <c r="B350" s="57"/>
      <c r="C350" s="57" t="s">
        <v>2239</v>
      </c>
      <c r="D350" s="57" t="s">
        <v>2650</v>
      </c>
      <c r="E350" s="58" t="s">
        <v>2239</v>
      </c>
      <c r="F350" s="58" t="s">
        <v>2630</v>
      </c>
      <c r="G350" s="57" t="s">
        <v>2237</v>
      </c>
    </row>
    <row r="351" spans="1:7">
      <c r="A351" s="57" t="s">
        <v>2240</v>
      </c>
      <c r="B351" s="57" t="s">
        <v>2241</v>
      </c>
      <c r="C351" s="57" t="s">
        <v>108</v>
      </c>
      <c r="D351" s="57" t="s">
        <v>2650</v>
      </c>
      <c r="E351" s="58" t="s">
        <v>108</v>
      </c>
      <c r="F351" s="58" t="s">
        <v>2630</v>
      </c>
      <c r="G351" s="57" t="s">
        <v>2237</v>
      </c>
    </row>
    <row r="352" spans="1:7">
      <c r="A352" s="57" t="s">
        <v>2242</v>
      </c>
      <c r="B352" s="57" t="s">
        <v>2243</v>
      </c>
      <c r="C352" s="57" t="s">
        <v>108</v>
      </c>
      <c r="D352" s="57" t="s">
        <v>2650</v>
      </c>
      <c r="E352" s="58" t="s">
        <v>108</v>
      </c>
      <c r="F352" s="58" t="s">
        <v>2630</v>
      </c>
      <c r="G352" s="57" t="s">
        <v>2244</v>
      </c>
    </row>
    <row r="353" spans="1:7">
      <c r="A353" s="57" t="s">
        <v>2245</v>
      </c>
      <c r="B353" s="57"/>
      <c r="C353" s="57" t="s">
        <v>108</v>
      </c>
      <c r="D353" s="57" t="s">
        <v>2650</v>
      </c>
      <c r="E353" s="58" t="s">
        <v>108</v>
      </c>
      <c r="F353" s="58" t="s">
        <v>2630</v>
      </c>
      <c r="G353" s="57" t="s">
        <v>2237</v>
      </c>
    </row>
    <row r="354" spans="1:7" ht="17.100000000000001">
      <c r="A354" s="75" t="s">
        <v>2534</v>
      </c>
      <c r="B354" s="75"/>
      <c r="C354" s="75"/>
      <c r="D354" s="75"/>
      <c r="E354" s="76"/>
      <c r="F354" s="75"/>
      <c r="G354" s="75"/>
    </row>
    <row r="355" spans="1:7">
      <c r="A355" s="57" t="s">
        <v>2247</v>
      </c>
      <c r="B355" s="57" t="s">
        <v>2248</v>
      </c>
      <c r="C355" s="57" t="s">
        <v>108</v>
      </c>
      <c r="D355" s="57" t="s">
        <v>2650</v>
      </c>
      <c r="E355" s="58" t="s">
        <v>108</v>
      </c>
      <c r="F355" s="58" t="s">
        <v>2630</v>
      </c>
      <c r="G355" s="57" t="s">
        <v>2237</v>
      </c>
    </row>
    <row r="356" spans="1:7">
      <c r="A356" s="57" t="s">
        <v>2249</v>
      </c>
      <c r="B356" s="57" t="s">
        <v>2250</v>
      </c>
      <c r="C356" s="57" t="s">
        <v>108</v>
      </c>
      <c r="D356" s="57" t="s">
        <v>2650</v>
      </c>
      <c r="E356" s="58" t="s">
        <v>108</v>
      </c>
      <c r="F356" s="58" t="s">
        <v>2630</v>
      </c>
      <c r="G356" s="57" t="s">
        <v>2251</v>
      </c>
    </row>
    <row r="357" spans="1:7">
      <c r="A357" s="57" t="s">
        <v>2252</v>
      </c>
      <c r="B357" s="57" t="s">
        <v>2250</v>
      </c>
      <c r="C357" s="57" t="s">
        <v>108</v>
      </c>
      <c r="D357" s="57" t="s">
        <v>2650</v>
      </c>
      <c r="E357" s="58" t="s">
        <v>108</v>
      </c>
      <c r="F357" s="58" t="s">
        <v>2630</v>
      </c>
      <c r="G357" s="57" t="s">
        <v>2237</v>
      </c>
    </row>
    <row r="358" spans="1:7">
      <c r="A358" s="57" t="s">
        <v>2253</v>
      </c>
      <c r="B358" s="57" t="s">
        <v>2236</v>
      </c>
      <c r="C358" s="57" t="s">
        <v>2254</v>
      </c>
      <c r="D358" s="57" t="s">
        <v>2650</v>
      </c>
      <c r="E358" s="58" t="s">
        <v>2255</v>
      </c>
      <c r="F358" s="58" t="s">
        <v>2630</v>
      </c>
      <c r="G358" s="57" t="s">
        <v>2237</v>
      </c>
    </row>
    <row r="359" spans="1:7">
      <c r="A359" s="57" t="s">
        <v>2256</v>
      </c>
      <c r="B359" s="57" t="s">
        <v>2257</v>
      </c>
      <c r="C359" s="57" t="s">
        <v>108</v>
      </c>
      <c r="D359" s="57" t="s">
        <v>2650</v>
      </c>
      <c r="E359" s="58" t="s">
        <v>108</v>
      </c>
      <c r="F359" s="58" t="s">
        <v>2630</v>
      </c>
      <c r="G359" s="57" t="s">
        <v>2258</v>
      </c>
    </row>
    <row r="360" spans="1:7" ht="17.100000000000001">
      <c r="A360" s="75" t="s">
        <v>2651</v>
      </c>
      <c r="B360" s="75"/>
      <c r="C360" s="75"/>
      <c r="D360" s="75"/>
      <c r="E360" s="76"/>
      <c r="F360" s="75"/>
      <c r="G360" s="75"/>
    </row>
    <row r="361" spans="1:7">
      <c r="A361" s="57" t="s">
        <v>2260</v>
      </c>
      <c r="B361" s="57" t="s">
        <v>2261</v>
      </c>
      <c r="C361" s="57" t="s">
        <v>108</v>
      </c>
      <c r="D361" s="57" t="s">
        <v>2650</v>
      </c>
      <c r="E361" s="58" t="s">
        <v>108</v>
      </c>
      <c r="F361" s="58" t="s">
        <v>2630</v>
      </c>
      <c r="G361" s="57" t="s">
        <v>2237</v>
      </c>
    </row>
    <row r="362" spans="1:7">
      <c r="A362" s="57" t="s">
        <v>2262</v>
      </c>
      <c r="B362" s="57" t="s">
        <v>2261</v>
      </c>
      <c r="C362" s="57" t="s">
        <v>2263</v>
      </c>
      <c r="D362" s="57" t="s">
        <v>2650</v>
      </c>
      <c r="E362" s="58" t="s">
        <v>108</v>
      </c>
      <c r="F362" s="58" t="s">
        <v>2630</v>
      </c>
      <c r="G362" s="57" t="s">
        <v>2237</v>
      </c>
    </row>
    <row r="363" spans="1:7">
      <c r="A363" s="57" t="s">
        <v>2264</v>
      </c>
      <c r="B363" s="57" t="s">
        <v>2261</v>
      </c>
      <c r="C363" s="57" t="s">
        <v>2265</v>
      </c>
      <c r="D363" s="57" t="s">
        <v>2650</v>
      </c>
      <c r="E363" s="58" t="s">
        <v>108</v>
      </c>
      <c r="F363" s="58" t="s">
        <v>2630</v>
      </c>
      <c r="G363" s="57" t="s">
        <v>2266</v>
      </c>
    </row>
    <row r="364" spans="1:7">
      <c r="A364" s="57" t="s">
        <v>2267</v>
      </c>
      <c r="B364" s="57" t="s">
        <v>2261</v>
      </c>
      <c r="C364" s="57" t="s">
        <v>108</v>
      </c>
      <c r="D364" s="57" t="s">
        <v>2650</v>
      </c>
      <c r="E364" s="58" t="s">
        <v>108</v>
      </c>
      <c r="F364" s="58" t="s">
        <v>2630</v>
      </c>
      <c r="G364" s="57" t="s">
        <v>2237</v>
      </c>
    </row>
    <row r="365" spans="1:7" ht="17.100000000000001">
      <c r="A365" s="75" t="s">
        <v>2652</v>
      </c>
      <c r="B365" s="75"/>
      <c r="C365" s="75"/>
      <c r="D365" s="75"/>
      <c r="E365" s="76"/>
      <c r="F365" s="75"/>
      <c r="G365" s="75"/>
    </row>
    <row r="366" spans="1:7">
      <c r="A366" s="57" t="s">
        <v>2269</v>
      </c>
      <c r="B366" s="57" t="s">
        <v>2270</v>
      </c>
      <c r="C366" s="57" t="s">
        <v>2271</v>
      </c>
      <c r="D366" s="57" t="s">
        <v>2650</v>
      </c>
      <c r="E366" s="58" t="s">
        <v>108</v>
      </c>
      <c r="F366" s="58" t="s">
        <v>2630</v>
      </c>
      <c r="G366" s="57" t="s">
        <v>2237</v>
      </c>
    </row>
    <row r="367" spans="1:7">
      <c r="A367" s="57" t="s">
        <v>2272</v>
      </c>
      <c r="B367" s="57" t="s">
        <v>2273</v>
      </c>
      <c r="C367" s="57" t="s">
        <v>108</v>
      </c>
      <c r="D367" s="57" t="s">
        <v>2650</v>
      </c>
      <c r="E367" s="58" t="s">
        <v>108</v>
      </c>
      <c r="F367" s="58" t="s">
        <v>2630</v>
      </c>
      <c r="G367" s="57" t="s">
        <v>2237</v>
      </c>
    </row>
    <row r="368" spans="1:7">
      <c r="A368" s="57" t="s">
        <v>2274</v>
      </c>
      <c r="B368" s="57" t="s">
        <v>2270</v>
      </c>
      <c r="C368" s="57" t="s">
        <v>2275</v>
      </c>
      <c r="D368" s="57" t="s">
        <v>2650</v>
      </c>
      <c r="E368" s="58" t="s">
        <v>108</v>
      </c>
      <c r="F368" s="58" t="s">
        <v>2630</v>
      </c>
      <c r="G368" s="57" t="s">
        <v>2237</v>
      </c>
    </row>
    <row r="369" spans="1:7">
      <c r="A369" s="57" t="s">
        <v>2276</v>
      </c>
      <c r="B369" s="57" t="s">
        <v>2273</v>
      </c>
      <c r="C369" s="57" t="s">
        <v>2277</v>
      </c>
      <c r="D369" s="57" t="s">
        <v>2650</v>
      </c>
      <c r="E369" s="58" t="s">
        <v>108</v>
      </c>
      <c r="F369" s="58" t="s">
        <v>2630</v>
      </c>
      <c r="G369" s="57" t="s">
        <v>2278</v>
      </c>
    </row>
    <row r="370" spans="1:7">
      <c r="A370" s="57" t="s">
        <v>2279</v>
      </c>
      <c r="B370" s="57" t="s">
        <v>2280</v>
      </c>
      <c r="C370" s="57" t="s">
        <v>108</v>
      </c>
      <c r="D370" s="57" t="s">
        <v>2650</v>
      </c>
      <c r="E370" s="58" t="s">
        <v>108</v>
      </c>
      <c r="F370" s="58" t="s">
        <v>2630</v>
      </c>
      <c r="G370" s="57" t="s">
        <v>2281</v>
      </c>
    </row>
    <row r="371" spans="1:7">
      <c r="A371" s="57" t="s">
        <v>2282</v>
      </c>
      <c r="B371" s="57" t="s">
        <v>2280</v>
      </c>
      <c r="C371" s="57" t="s">
        <v>108</v>
      </c>
      <c r="D371" s="57" t="s">
        <v>2650</v>
      </c>
      <c r="E371" s="58" t="s">
        <v>108</v>
      </c>
      <c r="F371" s="58" t="s">
        <v>2630</v>
      </c>
      <c r="G371" s="57" t="s">
        <v>2237</v>
      </c>
    </row>
    <row r="372" spans="1:7" ht="17.100000000000001">
      <c r="A372" s="75" t="s">
        <v>2535</v>
      </c>
      <c r="B372" s="75"/>
      <c r="C372" s="75"/>
      <c r="D372" s="75"/>
      <c r="E372" s="76"/>
      <c r="F372" s="75"/>
      <c r="G372" s="75"/>
    </row>
    <row r="373" spans="1:7">
      <c r="A373" s="57" t="s">
        <v>2284</v>
      </c>
      <c r="B373" s="57" t="s">
        <v>2285</v>
      </c>
      <c r="C373" s="57" t="s">
        <v>108</v>
      </c>
      <c r="D373" s="57" t="s">
        <v>2650</v>
      </c>
      <c r="E373" s="58" t="s">
        <v>108</v>
      </c>
      <c r="F373" s="58" t="s">
        <v>2630</v>
      </c>
      <c r="G373" s="57" t="s">
        <v>2286</v>
      </c>
    </row>
    <row r="374" spans="1:7">
      <c r="A374" s="57" t="s">
        <v>2287</v>
      </c>
      <c r="B374" s="57" t="s">
        <v>2248</v>
      </c>
      <c r="C374" s="57" t="s">
        <v>2288</v>
      </c>
      <c r="D374" s="57" t="s">
        <v>2650</v>
      </c>
      <c r="E374" s="58" t="s">
        <v>2255</v>
      </c>
      <c r="F374" s="58" t="s">
        <v>2630</v>
      </c>
      <c r="G374" s="57" t="s">
        <v>2237</v>
      </c>
    </row>
    <row r="375" spans="1:7">
      <c r="A375" s="57" t="s">
        <v>2289</v>
      </c>
      <c r="B375" s="57" t="s">
        <v>2248</v>
      </c>
      <c r="C375" s="57" t="s">
        <v>2254</v>
      </c>
      <c r="D375" s="57" t="s">
        <v>2650</v>
      </c>
      <c r="E375" s="58" t="s">
        <v>2255</v>
      </c>
      <c r="F375" s="58" t="s">
        <v>2630</v>
      </c>
      <c r="G375" s="57" t="s">
        <v>2237</v>
      </c>
    </row>
    <row r="376" spans="1:7">
      <c r="A376" s="57" t="s">
        <v>2290</v>
      </c>
      <c r="B376" s="57" t="s">
        <v>2248</v>
      </c>
      <c r="C376" s="57" t="s">
        <v>2254</v>
      </c>
      <c r="D376" s="57" t="s">
        <v>2650</v>
      </c>
      <c r="E376" s="58" t="s">
        <v>2255</v>
      </c>
      <c r="F376" s="58" t="s">
        <v>2630</v>
      </c>
      <c r="G376" s="57" t="s">
        <v>2237</v>
      </c>
    </row>
    <row r="377" spans="1:7">
      <c r="A377" s="57" t="s">
        <v>2291</v>
      </c>
      <c r="B377" s="57" t="s">
        <v>2292</v>
      </c>
      <c r="C377" s="57" t="s">
        <v>2254</v>
      </c>
      <c r="D377" s="57" t="s">
        <v>2650</v>
      </c>
      <c r="E377" s="58" t="s">
        <v>2255</v>
      </c>
      <c r="F377" s="58" t="s">
        <v>2630</v>
      </c>
      <c r="G377" s="57" t="s">
        <v>2237</v>
      </c>
    </row>
    <row r="378" spans="1:7">
      <c r="A378" s="57" t="s">
        <v>2293</v>
      </c>
      <c r="B378" s="57"/>
      <c r="C378" s="57" t="s">
        <v>2254</v>
      </c>
      <c r="D378" s="57" t="s">
        <v>2650</v>
      </c>
      <c r="E378" s="58" t="s">
        <v>2255</v>
      </c>
      <c r="F378" s="58" t="s">
        <v>2630</v>
      </c>
      <c r="G378" s="57" t="s">
        <v>2237</v>
      </c>
    </row>
    <row r="379" spans="1:7">
      <c r="A379" s="57" t="s">
        <v>2294</v>
      </c>
      <c r="B379" s="57"/>
      <c r="C379" s="57" t="s">
        <v>2254</v>
      </c>
      <c r="D379" s="57" t="s">
        <v>2650</v>
      </c>
      <c r="E379" s="58" t="s">
        <v>2255</v>
      </c>
      <c r="F379" s="58" t="s">
        <v>2630</v>
      </c>
      <c r="G379" s="57" t="s">
        <v>2237</v>
      </c>
    </row>
    <row r="380" spans="1:7">
      <c r="A380" s="57" t="s">
        <v>2295</v>
      </c>
      <c r="B380" s="57"/>
      <c r="C380" s="57" t="s">
        <v>2254</v>
      </c>
      <c r="D380" s="57" t="s">
        <v>2650</v>
      </c>
      <c r="E380" s="58" t="s">
        <v>2255</v>
      </c>
      <c r="F380" s="58" t="s">
        <v>2630</v>
      </c>
      <c r="G380" s="57" t="s">
        <v>2237</v>
      </c>
    </row>
    <row r="381" spans="1:7" ht="17.100000000000001">
      <c r="A381" s="75" t="s">
        <v>2536</v>
      </c>
      <c r="B381" s="75"/>
      <c r="C381" s="75"/>
      <c r="D381" s="75"/>
      <c r="E381" s="76"/>
      <c r="F381" s="75"/>
      <c r="G381" s="75"/>
    </row>
    <row r="382" spans="1:7">
      <c r="A382" s="57" t="s">
        <v>2297</v>
      </c>
      <c r="B382" s="57" t="s">
        <v>2298</v>
      </c>
      <c r="C382" s="57" t="s">
        <v>108</v>
      </c>
      <c r="D382" s="57" t="s">
        <v>2650</v>
      </c>
      <c r="E382" s="58" t="s">
        <v>108</v>
      </c>
      <c r="F382" s="58" t="s">
        <v>2630</v>
      </c>
      <c r="G382" s="57" t="s">
        <v>2237</v>
      </c>
    </row>
    <row r="383" spans="1:7">
      <c r="A383" s="57" t="s">
        <v>2299</v>
      </c>
      <c r="B383" s="57" t="s">
        <v>2298</v>
      </c>
      <c r="C383" s="57" t="s">
        <v>2300</v>
      </c>
      <c r="D383" s="57" t="s">
        <v>2650</v>
      </c>
      <c r="E383" s="58" t="s">
        <v>108</v>
      </c>
      <c r="F383" s="58" t="s">
        <v>2630</v>
      </c>
      <c r="G383" s="57" t="s">
        <v>2301</v>
      </c>
    </row>
    <row r="384" spans="1:7">
      <c r="A384" s="57" t="s">
        <v>2302</v>
      </c>
      <c r="B384" s="57"/>
      <c r="C384" s="57" t="s">
        <v>2303</v>
      </c>
      <c r="D384" s="57" t="s">
        <v>2650</v>
      </c>
      <c r="E384" s="58" t="s">
        <v>108</v>
      </c>
      <c r="F384" s="58" t="s">
        <v>2630</v>
      </c>
      <c r="G384" s="57" t="s">
        <v>2237</v>
      </c>
    </row>
    <row r="385" spans="1:7">
      <c r="A385" s="57" t="s">
        <v>2304</v>
      </c>
      <c r="B385" s="57"/>
      <c r="C385" s="57" t="s">
        <v>2254</v>
      </c>
      <c r="D385" s="57" t="s">
        <v>2650</v>
      </c>
      <c r="E385" s="58" t="s">
        <v>2255</v>
      </c>
      <c r="F385" s="58" t="s">
        <v>2630</v>
      </c>
      <c r="G385" s="57" t="s">
        <v>2237</v>
      </c>
    </row>
    <row r="386" spans="1:7">
      <c r="A386" s="57" t="s">
        <v>2305</v>
      </c>
      <c r="B386" s="57"/>
      <c r="C386" s="57" t="s">
        <v>2254</v>
      </c>
      <c r="D386" s="57" t="s">
        <v>2650</v>
      </c>
      <c r="E386" s="58" t="s">
        <v>2255</v>
      </c>
      <c r="F386" s="58" t="s">
        <v>2630</v>
      </c>
      <c r="G386" s="57" t="s">
        <v>2237</v>
      </c>
    </row>
    <row r="387" spans="1:7">
      <c r="A387" s="57" t="s">
        <v>2306</v>
      </c>
      <c r="B387" s="57" t="s">
        <v>2298</v>
      </c>
      <c r="C387" s="57" t="s">
        <v>2307</v>
      </c>
      <c r="D387" s="57" t="s">
        <v>2650</v>
      </c>
      <c r="E387" s="58" t="s">
        <v>2307</v>
      </c>
      <c r="F387" s="58" t="s">
        <v>2630</v>
      </c>
      <c r="G387" s="57" t="s">
        <v>2237</v>
      </c>
    </row>
    <row r="388" spans="1:7">
      <c r="A388" s="57" t="s">
        <v>2308</v>
      </c>
      <c r="B388" s="57" t="s">
        <v>2309</v>
      </c>
      <c r="C388" s="57" t="s">
        <v>108</v>
      </c>
      <c r="D388" s="57" t="s">
        <v>2650</v>
      </c>
      <c r="E388" s="58" t="s">
        <v>108</v>
      </c>
      <c r="F388" s="58" t="s">
        <v>2630</v>
      </c>
      <c r="G388" s="57" t="s">
        <v>2237</v>
      </c>
    </row>
    <row r="389" spans="1:7" ht="17.100000000000001">
      <c r="A389" s="75" t="s">
        <v>2537</v>
      </c>
      <c r="B389" s="75"/>
      <c r="C389" s="75"/>
      <c r="D389" s="75"/>
      <c r="E389" s="76"/>
      <c r="F389" s="75"/>
      <c r="G389" s="75"/>
    </row>
    <row r="390" spans="1:7">
      <c r="A390" s="57" t="s">
        <v>2311</v>
      </c>
      <c r="B390" s="57"/>
      <c r="C390" s="57" t="s">
        <v>2307</v>
      </c>
      <c r="D390" s="57" t="s">
        <v>2650</v>
      </c>
      <c r="E390" s="58" t="s">
        <v>2307</v>
      </c>
      <c r="F390" s="58" t="s">
        <v>2630</v>
      </c>
      <c r="G390" s="57" t="s">
        <v>2237</v>
      </c>
    </row>
    <row r="391" spans="1:7">
      <c r="A391" s="57" t="s">
        <v>2312</v>
      </c>
      <c r="B391" s="57"/>
      <c r="C391" s="57" t="s">
        <v>2313</v>
      </c>
      <c r="D391" s="57" t="s">
        <v>2650</v>
      </c>
      <c r="E391" s="58" t="s">
        <v>2307</v>
      </c>
      <c r="F391" s="58" t="s">
        <v>2630</v>
      </c>
      <c r="G391" s="57" t="s">
        <v>2237</v>
      </c>
    </row>
    <row r="392" spans="1:7">
      <c r="A392" s="57" t="s">
        <v>2314</v>
      </c>
      <c r="B392" s="57" t="s">
        <v>2298</v>
      </c>
      <c r="C392" s="57" t="s">
        <v>108</v>
      </c>
      <c r="D392" s="57" t="s">
        <v>2650</v>
      </c>
      <c r="E392" s="58" t="s">
        <v>108</v>
      </c>
      <c r="F392" s="58" t="s">
        <v>2630</v>
      </c>
      <c r="G392" s="57" t="s">
        <v>2237</v>
      </c>
    </row>
    <row r="393" spans="1:7">
      <c r="A393" s="57" t="s">
        <v>2315</v>
      </c>
      <c r="B393" s="57" t="s">
        <v>2298</v>
      </c>
      <c r="C393" s="57" t="s">
        <v>108</v>
      </c>
      <c r="D393" s="57" t="s">
        <v>2650</v>
      </c>
      <c r="E393" s="58" t="s">
        <v>108</v>
      </c>
      <c r="F393" s="58" t="s">
        <v>2630</v>
      </c>
      <c r="G393" s="57" t="s">
        <v>2237</v>
      </c>
    </row>
    <row r="394" spans="1:7">
      <c r="A394" s="57" t="s">
        <v>2316</v>
      </c>
      <c r="B394" s="57" t="s">
        <v>2292</v>
      </c>
      <c r="C394" s="57" t="s">
        <v>108</v>
      </c>
      <c r="D394" s="57" t="s">
        <v>2650</v>
      </c>
      <c r="E394" s="58" t="s">
        <v>108</v>
      </c>
      <c r="F394" s="58" t="s">
        <v>2630</v>
      </c>
      <c r="G394" s="57" t="s">
        <v>2237</v>
      </c>
    </row>
    <row r="395" spans="1:7">
      <c r="A395" s="57" t="s">
        <v>2317</v>
      </c>
      <c r="B395" s="57" t="s">
        <v>2318</v>
      </c>
      <c r="C395" s="57" t="s">
        <v>2307</v>
      </c>
      <c r="D395" s="57" t="s">
        <v>2650</v>
      </c>
      <c r="E395" s="58" t="s">
        <v>2307</v>
      </c>
      <c r="F395" s="58" t="s">
        <v>2630</v>
      </c>
      <c r="G395" s="57" t="s">
        <v>2237</v>
      </c>
    </row>
    <row r="396" spans="1:7">
      <c r="A396" s="57" t="s">
        <v>2319</v>
      </c>
      <c r="B396" s="57" t="s">
        <v>2318</v>
      </c>
      <c r="C396" s="57" t="s">
        <v>2307</v>
      </c>
      <c r="D396" s="57" t="s">
        <v>2650</v>
      </c>
      <c r="E396" s="58" t="s">
        <v>2307</v>
      </c>
      <c r="F396" s="58" t="s">
        <v>2630</v>
      </c>
      <c r="G396" s="57" t="s">
        <v>2237</v>
      </c>
    </row>
    <row r="397" spans="1:7">
      <c r="A397" s="57" t="s">
        <v>2320</v>
      </c>
      <c r="B397" s="57"/>
      <c r="C397" s="57" t="s">
        <v>2254</v>
      </c>
      <c r="D397" s="57" t="s">
        <v>2650</v>
      </c>
      <c r="E397" s="58" t="s">
        <v>2255</v>
      </c>
      <c r="F397" s="58" t="s">
        <v>2630</v>
      </c>
      <c r="G397" s="57" t="s">
        <v>2237</v>
      </c>
    </row>
    <row r="398" spans="1:7">
      <c r="A398" s="57" t="s">
        <v>2321</v>
      </c>
      <c r="B398" s="57" t="s">
        <v>2318</v>
      </c>
      <c r="C398" s="57" t="s">
        <v>108</v>
      </c>
      <c r="D398" s="57" t="s">
        <v>2650</v>
      </c>
      <c r="E398" s="58" t="s">
        <v>108</v>
      </c>
      <c r="F398" s="58" t="s">
        <v>2630</v>
      </c>
      <c r="G398" s="57" t="s">
        <v>2322</v>
      </c>
    </row>
    <row r="399" spans="1:7" ht="17.100000000000001">
      <c r="A399" s="75" t="s">
        <v>2653</v>
      </c>
      <c r="B399" s="75"/>
      <c r="C399" s="75"/>
      <c r="D399" s="75"/>
      <c r="E399" s="76"/>
      <c r="F399" s="75"/>
      <c r="G399" s="75"/>
    </row>
    <row r="400" spans="1:7">
      <c r="A400" s="57" t="s">
        <v>2324</v>
      </c>
      <c r="B400" s="57" t="s">
        <v>2325</v>
      </c>
      <c r="C400" s="57" t="s">
        <v>108</v>
      </c>
      <c r="D400" s="57" t="s">
        <v>2650</v>
      </c>
      <c r="E400" s="58" t="s">
        <v>108</v>
      </c>
      <c r="F400" s="58" t="s">
        <v>2630</v>
      </c>
      <c r="G400" s="57" t="s">
        <v>2237</v>
      </c>
    </row>
    <row r="401" spans="1:7">
      <c r="A401" s="57" t="s">
        <v>2326</v>
      </c>
      <c r="B401" s="57" t="s">
        <v>2327</v>
      </c>
      <c r="C401" s="57" t="s">
        <v>108</v>
      </c>
      <c r="D401" s="57" t="s">
        <v>2650</v>
      </c>
      <c r="E401" s="58" t="s">
        <v>108</v>
      </c>
      <c r="F401" s="58" t="s">
        <v>2630</v>
      </c>
      <c r="G401" s="57" t="s">
        <v>2237</v>
      </c>
    </row>
    <row r="402" spans="1:7">
      <c r="A402" s="57" t="s">
        <v>2328</v>
      </c>
      <c r="B402" s="57" t="s">
        <v>2327</v>
      </c>
      <c r="C402" s="57" t="s">
        <v>108</v>
      </c>
      <c r="D402" s="57" t="s">
        <v>2650</v>
      </c>
      <c r="E402" s="58" t="s">
        <v>108</v>
      </c>
      <c r="F402" s="58" t="s">
        <v>2630</v>
      </c>
      <c r="G402" s="57" t="s">
        <v>2237</v>
      </c>
    </row>
    <row r="403" spans="1:7" ht="17.100000000000001">
      <c r="A403" s="75" t="s">
        <v>2538</v>
      </c>
      <c r="B403" s="75"/>
      <c r="C403" s="75"/>
      <c r="D403" s="75"/>
      <c r="E403" s="76"/>
      <c r="F403" s="75"/>
      <c r="G403" s="75"/>
    </row>
    <row r="404" spans="1:7">
      <c r="A404" s="57" t="s">
        <v>2330</v>
      </c>
      <c r="B404" s="57" t="s">
        <v>2331</v>
      </c>
      <c r="C404" s="57" t="s">
        <v>2307</v>
      </c>
      <c r="D404" s="57" t="s">
        <v>2650</v>
      </c>
      <c r="E404" s="58" t="s">
        <v>2307</v>
      </c>
      <c r="F404" s="58" t="s">
        <v>2630</v>
      </c>
      <c r="G404" s="57" t="s">
        <v>2332</v>
      </c>
    </row>
    <row r="405" spans="1:7">
      <c r="A405" s="57" t="s">
        <v>2333</v>
      </c>
      <c r="B405" s="57" t="s">
        <v>2334</v>
      </c>
      <c r="C405" s="57" t="s">
        <v>108</v>
      </c>
      <c r="D405" s="57" t="s">
        <v>2650</v>
      </c>
      <c r="E405" s="58" t="s">
        <v>108</v>
      </c>
      <c r="F405" s="58" t="s">
        <v>2630</v>
      </c>
      <c r="G405" s="57" t="s">
        <v>2335</v>
      </c>
    </row>
    <row r="406" spans="1:7">
      <c r="A406" s="57" t="s">
        <v>2336</v>
      </c>
      <c r="B406" s="57" t="s">
        <v>2337</v>
      </c>
      <c r="C406" s="57" t="s">
        <v>108</v>
      </c>
      <c r="D406" s="57" t="s">
        <v>2650</v>
      </c>
      <c r="E406" s="58" t="s">
        <v>108</v>
      </c>
      <c r="F406" s="58" t="s">
        <v>2630</v>
      </c>
      <c r="G406" s="57" t="s">
        <v>2338</v>
      </c>
    </row>
    <row r="407" spans="1:7">
      <c r="A407" s="57" t="s">
        <v>2339</v>
      </c>
      <c r="B407" s="57" t="s">
        <v>2340</v>
      </c>
      <c r="C407" s="57" t="s">
        <v>108</v>
      </c>
      <c r="D407" s="57" t="s">
        <v>2650</v>
      </c>
      <c r="E407" s="58" t="s">
        <v>108</v>
      </c>
      <c r="F407" s="58" t="s">
        <v>2630</v>
      </c>
      <c r="G407" s="57" t="s">
        <v>2341</v>
      </c>
    </row>
    <row r="408" spans="1:7">
      <c r="A408" s="57" t="s">
        <v>2342</v>
      </c>
      <c r="B408" s="57"/>
      <c r="C408" s="57" t="s">
        <v>2254</v>
      </c>
      <c r="D408" s="57" t="s">
        <v>2650</v>
      </c>
      <c r="E408" s="58" t="s">
        <v>2255</v>
      </c>
      <c r="F408" s="58" t="s">
        <v>2630</v>
      </c>
      <c r="G408" s="57" t="s">
        <v>2237</v>
      </c>
    </row>
    <row r="409" spans="1:7" ht="17.100000000000001">
      <c r="A409" s="75" t="s">
        <v>2539</v>
      </c>
      <c r="B409" s="75"/>
      <c r="C409" s="75"/>
      <c r="D409" s="75"/>
      <c r="E409" s="76"/>
      <c r="F409" s="75"/>
      <c r="G409" s="75"/>
    </row>
    <row r="410" spans="1:7">
      <c r="A410" s="57" t="s">
        <v>2344</v>
      </c>
      <c r="B410" s="57" t="s">
        <v>2334</v>
      </c>
      <c r="C410" s="57" t="s">
        <v>108</v>
      </c>
      <c r="D410" s="57" t="s">
        <v>2650</v>
      </c>
      <c r="E410" s="58" t="s">
        <v>108</v>
      </c>
      <c r="F410" s="58" t="s">
        <v>2630</v>
      </c>
      <c r="G410" s="57" t="s">
        <v>2345</v>
      </c>
    </row>
    <row r="411" spans="1:7">
      <c r="A411" s="57" t="s">
        <v>2346</v>
      </c>
      <c r="B411" s="57" t="s">
        <v>2347</v>
      </c>
      <c r="C411" s="57" t="s">
        <v>108</v>
      </c>
      <c r="D411" s="57" t="s">
        <v>2650</v>
      </c>
      <c r="E411" s="58" t="s">
        <v>108</v>
      </c>
      <c r="F411" s="58" t="s">
        <v>2630</v>
      </c>
      <c r="G411" s="57" t="s">
        <v>2348</v>
      </c>
    </row>
    <row r="412" spans="1:7">
      <c r="A412" s="57" t="s">
        <v>2349</v>
      </c>
      <c r="B412" s="57" t="s">
        <v>2350</v>
      </c>
      <c r="C412" s="57" t="s">
        <v>108</v>
      </c>
      <c r="D412" s="57" t="s">
        <v>2650</v>
      </c>
      <c r="E412" s="58" t="s">
        <v>108</v>
      </c>
      <c r="F412" s="58" t="s">
        <v>2630</v>
      </c>
      <c r="G412" s="57" t="s">
        <v>2351</v>
      </c>
    </row>
    <row r="413" spans="1:7">
      <c r="A413" s="57" t="s">
        <v>2352</v>
      </c>
      <c r="B413" s="57" t="s">
        <v>2353</v>
      </c>
      <c r="C413" s="57" t="s">
        <v>2307</v>
      </c>
      <c r="D413" s="57" t="s">
        <v>2650</v>
      </c>
      <c r="E413" s="58" t="s">
        <v>2307</v>
      </c>
      <c r="F413" s="58" t="s">
        <v>2630</v>
      </c>
      <c r="G413" s="57" t="s">
        <v>2237</v>
      </c>
    </row>
    <row r="414" spans="1:7">
      <c r="A414" s="57" t="s">
        <v>2354</v>
      </c>
      <c r="B414" s="57" t="s">
        <v>2353</v>
      </c>
      <c r="C414" s="57" t="s">
        <v>2355</v>
      </c>
      <c r="D414" s="57" t="s">
        <v>2650</v>
      </c>
      <c r="E414" s="58" t="s">
        <v>108</v>
      </c>
      <c r="F414" s="58" t="s">
        <v>2630</v>
      </c>
      <c r="G414" s="57" t="s">
        <v>2237</v>
      </c>
    </row>
    <row r="415" spans="1:7" ht="17.100000000000001">
      <c r="A415" s="75" t="s">
        <v>2540</v>
      </c>
      <c r="B415" s="75"/>
      <c r="C415" s="75"/>
      <c r="D415" s="75"/>
      <c r="E415" s="76"/>
      <c r="F415" s="75"/>
      <c r="G415" s="75"/>
    </row>
    <row r="416" spans="1:7">
      <c r="A416" s="57" t="s">
        <v>2357</v>
      </c>
      <c r="B416" s="57" t="s">
        <v>2358</v>
      </c>
      <c r="C416" s="57" t="s">
        <v>108</v>
      </c>
      <c r="D416" s="57" t="s">
        <v>2650</v>
      </c>
      <c r="E416" s="58" t="s">
        <v>108</v>
      </c>
      <c r="F416" s="58" t="s">
        <v>2630</v>
      </c>
      <c r="G416" s="57" t="s">
        <v>2237</v>
      </c>
    </row>
    <row r="417" spans="1:7">
      <c r="A417" s="57" t="s">
        <v>2359</v>
      </c>
      <c r="B417" s="57" t="s">
        <v>2358</v>
      </c>
      <c r="C417" s="57" t="s">
        <v>2307</v>
      </c>
      <c r="D417" s="57" t="s">
        <v>2650</v>
      </c>
      <c r="E417" s="58" t="s">
        <v>2307</v>
      </c>
      <c r="F417" s="58" t="s">
        <v>2630</v>
      </c>
      <c r="G417" s="57" t="s">
        <v>2360</v>
      </c>
    </row>
    <row r="418" spans="1:7">
      <c r="A418" s="57" t="s">
        <v>2361</v>
      </c>
      <c r="B418" s="57" t="s">
        <v>2362</v>
      </c>
      <c r="C418" s="57" t="s">
        <v>2363</v>
      </c>
      <c r="D418" s="57" t="s">
        <v>2650</v>
      </c>
      <c r="E418" s="58" t="s">
        <v>2451</v>
      </c>
      <c r="F418" s="58" t="s">
        <v>2630</v>
      </c>
      <c r="G418" s="57" t="s">
        <v>2365</v>
      </c>
    </row>
    <row r="419" spans="1:7">
      <c r="A419" s="57" t="s">
        <v>2366</v>
      </c>
      <c r="B419" s="57" t="s">
        <v>2362</v>
      </c>
      <c r="C419" s="57" t="s">
        <v>2265</v>
      </c>
      <c r="D419" s="57" t="s">
        <v>2650</v>
      </c>
      <c r="E419" s="58" t="s">
        <v>108</v>
      </c>
      <c r="F419" s="58" t="s">
        <v>2630</v>
      </c>
      <c r="G419" s="57" t="s">
        <v>2367</v>
      </c>
    </row>
    <row r="420" spans="1:7">
      <c r="A420" s="57" t="s">
        <v>2368</v>
      </c>
      <c r="B420" s="57" t="s">
        <v>2358</v>
      </c>
      <c r="C420" s="57" t="s">
        <v>2369</v>
      </c>
      <c r="D420" s="57" t="s">
        <v>2650</v>
      </c>
      <c r="E420" s="58" t="s">
        <v>108</v>
      </c>
      <c r="F420" s="58" t="s">
        <v>2630</v>
      </c>
      <c r="G420" s="57" t="s">
        <v>2237</v>
      </c>
    </row>
    <row r="421" spans="1:7">
      <c r="A421" s="57" t="s">
        <v>2370</v>
      </c>
      <c r="B421" s="57" t="s">
        <v>2358</v>
      </c>
      <c r="C421" s="57" t="s">
        <v>2371</v>
      </c>
      <c r="D421" s="57" t="s">
        <v>2650</v>
      </c>
      <c r="E421" s="58" t="s">
        <v>108</v>
      </c>
      <c r="F421" s="58" t="s">
        <v>2630</v>
      </c>
      <c r="G421" s="57" t="s">
        <v>2372</v>
      </c>
    </row>
    <row r="422" spans="1:7" ht="17.100000000000001">
      <c r="A422" s="75" t="s">
        <v>2541</v>
      </c>
      <c r="B422" s="75"/>
      <c r="C422" s="75"/>
      <c r="D422" s="75"/>
      <c r="E422" s="76"/>
      <c r="F422" s="75"/>
      <c r="G422" s="75"/>
    </row>
    <row r="423" spans="1:7">
      <c r="A423" s="57" t="s">
        <v>2374</v>
      </c>
      <c r="B423" s="57" t="s">
        <v>2375</v>
      </c>
      <c r="C423" s="57" t="s">
        <v>2376</v>
      </c>
      <c r="D423" s="57" t="s">
        <v>2650</v>
      </c>
      <c r="E423" s="58" t="s">
        <v>108</v>
      </c>
      <c r="F423" s="58" t="s">
        <v>2630</v>
      </c>
      <c r="G423" s="57" t="s">
        <v>2377</v>
      </c>
    </row>
    <row r="424" spans="1:7">
      <c r="A424" s="57" t="s">
        <v>2378</v>
      </c>
      <c r="B424" s="57" t="s">
        <v>2379</v>
      </c>
      <c r="C424" s="57" t="s">
        <v>2380</v>
      </c>
      <c r="D424" s="57" t="s">
        <v>2650</v>
      </c>
      <c r="E424" s="58" t="s">
        <v>108</v>
      </c>
      <c r="F424" s="58" t="s">
        <v>2630</v>
      </c>
      <c r="G424" s="57" t="s">
        <v>2381</v>
      </c>
    </row>
    <row r="425" spans="1:7">
      <c r="A425" s="57" t="s">
        <v>2382</v>
      </c>
      <c r="B425" s="57"/>
      <c r="C425" s="57" t="s">
        <v>2254</v>
      </c>
      <c r="D425" s="57" t="s">
        <v>2650</v>
      </c>
      <c r="E425" s="58" t="s">
        <v>2255</v>
      </c>
      <c r="F425" s="58" t="s">
        <v>2630</v>
      </c>
      <c r="G425" s="57" t="s">
        <v>2237</v>
      </c>
    </row>
    <row r="426" spans="1:7">
      <c r="A426" s="57" t="s">
        <v>2383</v>
      </c>
      <c r="B426" s="57"/>
      <c r="C426" s="57" t="s">
        <v>108</v>
      </c>
      <c r="D426" s="57" t="s">
        <v>2650</v>
      </c>
      <c r="E426" s="58" t="s">
        <v>108</v>
      </c>
      <c r="F426" s="58" t="s">
        <v>2630</v>
      </c>
      <c r="G426" s="57" t="s">
        <v>2237</v>
      </c>
    </row>
    <row r="427" spans="1:7">
      <c r="A427" s="57" t="s">
        <v>2384</v>
      </c>
      <c r="B427" s="57" t="s">
        <v>2385</v>
      </c>
      <c r="C427" s="57" t="s">
        <v>2386</v>
      </c>
      <c r="D427" s="57" t="s">
        <v>2650</v>
      </c>
      <c r="E427" s="58" t="s">
        <v>2386</v>
      </c>
      <c r="F427" s="58" t="s">
        <v>2630</v>
      </c>
      <c r="G427" s="57" t="s">
        <v>2387</v>
      </c>
    </row>
    <row r="428" spans="1:7" ht="17.100000000000001">
      <c r="A428" s="75" t="s">
        <v>2542</v>
      </c>
      <c r="B428" s="75"/>
      <c r="C428" s="75"/>
      <c r="D428" s="75"/>
      <c r="E428" s="76"/>
      <c r="F428" s="75"/>
      <c r="G428" s="75"/>
    </row>
    <row r="429" spans="1:7">
      <c r="A429" s="57" t="s">
        <v>2235</v>
      </c>
      <c r="B429" s="57" t="s">
        <v>2236</v>
      </c>
      <c r="C429" s="57" t="s">
        <v>1212</v>
      </c>
      <c r="D429" s="57" t="s">
        <v>2654</v>
      </c>
      <c r="E429" s="58" t="s">
        <v>1212</v>
      </c>
      <c r="F429" s="58" t="s">
        <v>2630</v>
      </c>
      <c r="G429" s="57" t="s">
        <v>2237</v>
      </c>
    </row>
    <row r="430" spans="1:7">
      <c r="A430" s="57" t="s">
        <v>2238</v>
      </c>
      <c r="B430" s="57"/>
      <c r="C430" s="57" t="s">
        <v>2239</v>
      </c>
      <c r="D430" s="57" t="s">
        <v>2654</v>
      </c>
      <c r="E430" s="58" t="s">
        <v>1212</v>
      </c>
      <c r="F430" s="58" t="s">
        <v>2630</v>
      </c>
      <c r="G430" s="57" t="s">
        <v>2237</v>
      </c>
    </row>
    <row r="431" spans="1:7" ht="17.100000000000001">
      <c r="A431" s="75" t="s">
        <v>2553</v>
      </c>
      <c r="B431" s="75"/>
      <c r="C431" s="75"/>
      <c r="D431" s="75"/>
      <c r="E431" s="76"/>
      <c r="F431" s="75"/>
      <c r="G431" s="75"/>
    </row>
    <row r="432" spans="1:7">
      <c r="A432" s="57" t="s">
        <v>2361</v>
      </c>
      <c r="B432" s="57" t="s">
        <v>2362</v>
      </c>
      <c r="C432" s="57" t="s">
        <v>2363</v>
      </c>
      <c r="D432" s="57" t="s">
        <v>2654</v>
      </c>
      <c r="E432" s="58" t="s">
        <v>2451</v>
      </c>
      <c r="F432" s="58" t="s">
        <v>2630</v>
      </c>
      <c r="G432" s="57" t="s">
        <v>2365</v>
      </c>
    </row>
    <row r="433" spans="1:7" ht="17.100000000000001">
      <c r="A433" s="75" t="s">
        <v>2555</v>
      </c>
      <c r="B433" s="75"/>
      <c r="C433" s="75"/>
      <c r="D433" s="75"/>
      <c r="E433" s="76"/>
      <c r="F433" s="75"/>
      <c r="G433" s="75"/>
    </row>
    <row r="434" spans="1:7">
      <c r="A434" s="57" t="s">
        <v>2235</v>
      </c>
      <c r="B434" s="57" t="s">
        <v>2236</v>
      </c>
      <c r="C434" s="57" t="s">
        <v>1212</v>
      </c>
      <c r="D434" s="57" t="s">
        <v>2655</v>
      </c>
      <c r="E434" s="58" t="s">
        <v>1212</v>
      </c>
      <c r="F434" s="58" t="s">
        <v>2630</v>
      </c>
      <c r="G434" s="57" t="s">
        <v>2237</v>
      </c>
    </row>
    <row r="435" spans="1:7">
      <c r="A435" s="57" t="s">
        <v>2238</v>
      </c>
      <c r="B435" s="57"/>
      <c r="C435" s="57" t="s">
        <v>2239</v>
      </c>
      <c r="D435" s="57" t="s">
        <v>2655</v>
      </c>
      <c r="E435" s="58" t="s">
        <v>1212</v>
      </c>
      <c r="F435" s="58" t="s">
        <v>2630</v>
      </c>
      <c r="G435" s="57" t="s">
        <v>2237</v>
      </c>
    </row>
    <row r="436" spans="1:7" ht="17.100000000000001">
      <c r="A436" s="75" t="s">
        <v>2558</v>
      </c>
      <c r="B436" s="75"/>
      <c r="C436" s="75"/>
      <c r="D436" s="75"/>
      <c r="E436" s="76"/>
      <c r="F436" s="75"/>
      <c r="G436" s="75"/>
    </row>
    <row r="437" spans="1:7">
      <c r="A437" s="57" t="s">
        <v>2262</v>
      </c>
      <c r="B437" s="57" t="s">
        <v>2261</v>
      </c>
      <c r="C437" s="57" t="s">
        <v>2263</v>
      </c>
      <c r="D437" s="57" t="s">
        <v>2655</v>
      </c>
      <c r="E437" s="58" t="s">
        <v>2472</v>
      </c>
      <c r="F437" s="58" t="s">
        <v>2630</v>
      </c>
      <c r="G437" s="57" t="s">
        <v>2237</v>
      </c>
    </row>
    <row r="438" spans="1:7" ht="17.100000000000001">
      <c r="A438" s="75" t="s">
        <v>2559</v>
      </c>
      <c r="B438" s="75"/>
      <c r="C438" s="75"/>
      <c r="D438" s="75"/>
      <c r="E438" s="76"/>
      <c r="F438" s="75"/>
      <c r="G438" s="75"/>
    </row>
    <row r="439" spans="1:7">
      <c r="A439" s="57" t="s">
        <v>2474</v>
      </c>
      <c r="B439" s="57" t="s">
        <v>2375</v>
      </c>
      <c r="C439" s="57" t="s">
        <v>2475</v>
      </c>
      <c r="D439" s="57" t="s">
        <v>2655</v>
      </c>
      <c r="E439" s="58" t="s">
        <v>2472</v>
      </c>
      <c r="F439" s="58" t="s">
        <v>2630</v>
      </c>
      <c r="G439" s="57" t="s">
        <v>2237</v>
      </c>
    </row>
    <row r="440" spans="1:7">
      <c r="A440" s="57" t="s">
        <v>2276</v>
      </c>
      <c r="B440" s="57" t="s">
        <v>2273</v>
      </c>
      <c r="C440" s="57" t="s">
        <v>2277</v>
      </c>
      <c r="D440" s="57" t="s">
        <v>2655</v>
      </c>
      <c r="E440" s="58" t="s">
        <v>2472</v>
      </c>
      <c r="F440" s="58" t="s">
        <v>2630</v>
      </c>
      <c r="G440" s="57" t="s">
        <v>2278</v>
      </c>
    </row>
    <row r="441" spans="1:7" ht="17.100000000000001">
      <c r="A441" s="75" t="s">
        <v>2566</v>
      </c>
      <c r="B441" s="75"/>
      <c r="C441" s="75"/>
      <c r="D441" s="75"/>
      <c r="E441" s="76"/>
      <c r="F441" s="75"/>
      <c r="G441" s="75"/>
    </row>
    <row r="442" spans="1:7">
      <c r="A442" s="57" t="s">
        <v>2361</v>
      </c>
      <c r="B442" s="57" t="s">
        <v>2362</v>
      </c>
      <c r="C442" s="57" t="s">
        <v>2363</v>
      </c>
      <c r="D442" s="57" t="s">
        <v>2655</v>
      </c>
      <c r="E442" s="58" t="s">
        <v>2364</v>
      </c>
      <c r="F442" s="58" t="s">
        <v>2630</v>
      </c>
      <c r="G442" s="57" t="s">
        <v>2365</v>
      </c>
    </row>
    <row r="443" spans="1:7" ht="17.100000000000001">
      <c r="A443" s="75" t="s">
        <v>2568</v>
      </c>
      <c r="B443" s="75"/>
      <c r="C443" s="75"/>
      <c r="D443" s="75"/>
      <c r="E443" s="76"/>
      <c r="F443" s="75"/>
      <c r="G443" s="75"/>
    </row>
    <row r="444" spans="1:7">
      <c r="A444" s="57" t="s">
        <v>2389</v>
      </c>
      <c r="B444" s="57" t="s">
        <v>2241</v>
      </c>
      <c r="C444" s="57" t="s">
        <v>2390</v>
      </c>
      <c r="D444" s="57" t="s">
        <v>2656</v>
      </c>
      <c r="E444" s="58" t="s">
        <v>2392</v>
      </c>
      <c r="F444" s="58" t="s">
        <v>2630</v>
      </c>
      <c r="G444" s="57" t="s">
        <v>2393</v>
      </c>
    </row>
    <row r="445" spans="1:7">
      <c r="A445" s="57" t="s">
        <v>2235</v>
      </c>
      <c r="B445" s="57" t="s">
        <v>2236</v>
      </c>
      <c r="C445" s="57" t="s">
        <v>1212</v>
      </c>
      <c r="D445" s="57" t="s">
        <v>2656</v>
      </c>
      <c r="E445" s="58" t="s">
        <v>1212</v>
      </c>
      <c r="F445" s="58" t="s">
        <v>2630</v>
      </c>
      <c r="G445" s="57" t="s">
        <v>2237</v>
      </c>
    </row>
    <row r="446" spans="1:7">
      <c r="A446" s="57" t="s">
        <v>2238</v>
      </c>
      <c r="B446" s="57"/>
      <c r="C446" s="57" t="s">
        <v>2239</v>
      </c>
      <c r="D446" s="57" t="s">
        <v>2656</v>
      </c>
      <c r="E446" s="58" t="s">
        <v>1212</v>
      </c>
      <c r="F446" s="58" t="s">
        <v>2630</v>
      </c>
      <c r="G446" s="57" t="s">
        <v>2237</v>
      </c>
    </row>
    <row r="447" spans="1:7" ht="17.100000000000001">
      <c r="A447" s="75" t="s">
        <v>2570</v>
      </c>
      <c r="B447" s="75"/>
      <c r="C447" s="75"/>
      <c r="D447" s="75"/>
      <c r="E447" s="76"/>
      <c r="F447" s="75"/>
      <c r="G447" s="75"/>
    </row>
    <row r="448" spans="1:7">
      <c r="A448" s="57" t="s">
        <v>2253</v>
      </c>
      <c r="B448" s="57" t="s">
        <v>2236</v>
      </c>
      <c r="C448" s="57" t="s">
        <v>2254</v>
      </c>
      <c r="D448" s="57" t="s">
        <v>2656</v>
      </c>
      <c r="E448" s="58" t="s">
        <v>2395</v>
      </c>
      <c r="F448" s="58" t="s">
        <v>2630</v>
      </c>
      <c r="G448" s="57" t="s">
        <v>2237</v>
      </c>
    </row>
    <row r="449" spans="1:7" ht="17.100000000000001">
      <c r="A449" s="75" t="s">
        <v>2657</v>
      </c>
      <c r="B449" s="75"/>
      <c r="C449" s="75"/>
      <c r="D449" s="75"/>
      <c r="E449" s="76"/>
      <c r="F449" s="75"/>
      <c r="G449" s="75"/>
    </row>
    <row r="450" spans="1:7">
      <c r="A450" s="57" t="s">
        <v>2262</v>
      </c>
      <c r="B450" s="57" t="s">
        <v>2261</v>
      </c>
      <c r="C450" s="57" t="s">
        <v>2263</v>
      </c>
      <c r="D450" s="57" t="s">
        <v>2656</v>
      </c>
      <c r="E450" s="58" t="s">
        <v>2472</v>
      </c>
      <c r="F450" s="58" t="s">
        <v>2630</v>
      </c>
      <c r="G450" s="57" t="s">
        <v>2237</v>
      </c>
    </row>
    <row r="451" spans="1:7" ht="17.100000000000001">
      <c r="A451" s="75" t="s">
        <v>2571</v>
      </c>
      <c r="B451" s="75"/>
      <c r="C451" s="75"/>
      <c r="D451" s="75"/>
      <c r="E451" s="76"/>
      <c r="F451" s="75"/>
      <c r="G451" s="75"/>
    </row>
    <row r="452" spans="1:7">
      <c r="A452" s="57" t="s">
        <v>2474</v>
      </c>
      <c r="B452" s="57" t="s">
        <v>2375</v>
      </c>
      <c r="C452" s="57" t="s">
        <v>2475</v>
      </c>
      <c r="D452" s="57" t="s">
        <v>2656</v>
      </c>
      <c r="E452" s="58" t="s">
        <v>2472</v>
      </c>
      <c r="F452" s="58" t="s">
        <v>2630</v>
      </c>
      <c r="G452" s="57" t="s">
        <v>2237</v>
      </c>
    </row>
    <row r="453" spans="1:7">
      <c r="A453" s="57" t="s">
        <v>2274</v>
      </c>
      <c r="B453" s="57" t="s">
        <v>2270</v>
      </c>
      <c r="C453" s="57" t="s">
        <v>2275</v>
      </c>
      <c r="D453" s="57" t="s">
        <v>2656</v>
      </c>
      <c r="E453" s="58" t="s">
        <v>2658</v>
      </c>
      <c r="F453" s="58" t="s">
        <v>2630</v>
      </c>
      <c r="G453" s="57" t="s">
        <v>2237</v>
      </c>
    </row>
    <row r="454" spans="1:7">
      <c r="A454" s="57" t="s">
        <v>2276</v>
      </c>
      <c r="B454" s="57" t="s">
        <v>2273</v>
      </c>
      <c r="C454" s="57" t="s">
        <v>2277</v>
      </c>
      <c r="D454" s="57" t="s">
        <v>2656</v>
      </c>
      <c r="E454" s="58" t="s">
        <v>2472</v>
      </c>
      <c r="F454" s="58" t="s">
        <v>2630</v>
      </c>
      <c r="G454" s="57" t="s">
        <v>2278</v>
      </c>
    </row>
    <row r="455" spans="1:7" ht="17.100000000000001">
      <c r="A455" s="75" t="s">
        <v>2572</v>
      </c>
      <c r="B455" s="75"/>
      <c r="C455" s="75"/>
      <c r="D455" s="75"/>
      <c r="E455" s="76"/>
      <c r="F455" s="75"/>
      <c r="G455" s="75"/>
    </row>
    <row r="456" spans="1:7">
      <c r="A456" s="57" t="s">
        <v>2287</v>
      </c>
      <c r="B456" s="57" t="s">
        <v>2248</v>
      </c>
      <c r="C456" s="57" t="s">
        <v>2288</v>
      </c>
      <c r="D456" s="57" t="s">
        <v>2656</v>
      </c>
      <c r="E456" s="58" t="s">
        <v>2395</v>
      </c>
      <c r="F456" s="58" t="s">
        <v>2630</v>
      </c>
      <c r="G456" s="57" t="s">
        <v>2237</v>
      </c>
    </row>
    <row r="457" spans="1:7">
      <c r="A457" s="57" t="s">
        <v>2289</v>
      </c>
      <c r="B457" s="57" t="s">
        <v>2248</v>
      </c>
      <c r="C457" s="57" t="s">
        <v>2254</v>
      </c>
      <c r="D457" s="57" t="s">
        <v>2656</v>
      </c>
      <c r="E457" s="58" t="s">
        <v>2395</v>
      </c>
      <c r="F457" s="58" t="s">
        <v>2630</v>
      </c>
      <c r="G457" s="57" t="s">
        <v>2237</v>
      </c>
    </row>
    <row r="458" spans="1:7">
      <c r="A458" s="57" t="s">
        <v>2290</v>
      </c>
      <c r="B458" s="57" t="s">
        <v>2248</v>
      </c>
      <c r="C458" s="57" t="s">
        <v>2254</v>
      </c>
      <c r="D458" s="57" t="s">
        <v>2656</v>
      </c>
      <c r="E458" s="58" t="s">
        <v>2395</v>
      </c>
      <c r="F458" s="58" t="s">
        <v>2630</v>
      </c>
      <c r="G458" s="57" t="s">
        <v>2237</v>
      </c>
    </row>
    <row r="459" spans="1:7">
      <c r="A459" s="57" t="s">
        <v>2291</v>
      </c>
      <c r="B459" s="57" t="s">
        <v>2292</v>
      </c>
      <c r="C459" s="57" t="s">
        <v>2254</v>
      </c>
      <c r="D459" s="57" t="s">
        <v>2656</v>
      </c>
      <c r="E459" s="58" t="s">
        <v>2395</v>
      </c>
      <c r="F459" s="58" t="s">
        <v>2630</v>
      </c>
      <c r="G459" s="57" t="s">
        <v>2237</v>
      </c>
    </row>
    <row r="460" spans="1:7">
      <c r="A460" s="57" t="s">
        <v>2293</v>
      </c>
      <c r="B460" s="57"/>
      <c r="C460" s="57" t="s">
        <v>2254</v>
      </c>
      <c r="D460" s="57" t="s">
        <v>2656</v>
      </c>
      <c r="E460" s="58" t="s">
        <v>2395</v>
      </c>
      <c r="F460" s="58" t="s">
        <v>2630</v>
      </c>
      <c r="G460" s="57" t="s">
        <v>2237</v>
      </c>
    </row>
    <row r="461" spans="1:7">
      <c r="A461" s="57" t="s">
        <v>2294</v>
      </c>
      <c r="B461" s="57"/>
      <c r="C461" s="57" t="s">
        <v>2254</v>
      </c>
      <c r="D461" s="57" t="s">
        <v>2656</v>
      </c>
      <c r="E461" s="58" t="s">
        <v>2395</v>
      </c>
      <c r="F461" s="58" t="s">
        <v>2630</v>
      </c>
      <c r="G461" s="57" t="s">
        <v>2237</v>
      </c>
    </row>
    <row r="462" spans="1:7">
      <c r="A462" s="57" t="s">
        <v>2295</v>
      </c>
      <c r="B462" s="57"/>
      <c r="C462" s="57" t="s">
        <v>2254</v>
      </c>
      <c r="D462" s="57" t="s">
        <v>2656</v>
      </c>
      <c r="E462" s="58" t="s">
        <v>2395</v>
      </c>
      <c r="F462" s="58" t="s">
        <v>2630</v>
      </c>
      <c r="G462" s="57" t="s">
        <v>2237</v>
      </c>
    </row>
    <row r="463" spans="1:7" ht="17.100000000000001">
      <c r="A463" s="75" t="s">
        <v>2573</v>
      </c>
      <c r="B463" s="75"/>
      <c r="C463" s="75"/>
      <c r="D463" s="75"/>
      <c r="E463" s="76"/>
      <c r="F463" s="75"/>
      <c r="G463" s="75"/>
    </row>
    <row r="464" spans="1:7">
      <c r="A464" s="57" t="s">
        <v>2304</v>
      </c>
      <c r="B464" s="57"/>
      <c r="C464" s="57" t="s">
        <v>2254</v>
      </c>
      <c r="D464" s="57" t="s">
        <v>2656</v>
      </c>
      <c r="E464" s="58" t="s">
        <v>2395</v>
      </c>
      <c r="F464" s="58" t="s">
        <v>2630</v>
      </c>
      <c r="G464" s="57" t="s">
        <v>2237</v>
      </c>
    </row>
    <row r="465" spans="1:7">
      <c r="A465" s="57" t="s">
        <v>2305</v>
      </c>
      <c r="B465" s="57"/>
      <c r="C465" s="57" t="s">
        <v>2254</v>
      </c>
      <c r="D465" s="57" t="s">
        <v>2656</v>
      </c>
      <c r="E465" s="58" t="s">
        <v>2395</v>
      </c>
      <c r="F465" s="58" t="s">
        <v>2630</v>
      </c>
      <c r="G465" s="57" t="s">
        <v>2237</v>
      </c>
    </row>
    <row r="466" spans="1:7" ht="17.100000000000001">
      <c r="A466" s="75" t="s">
        <v>2574</v>
      </c>
      <c r="B466" s="75"/>
      <c r="C466" s="75"/>
      <c r="D466" s="75"/>
      <c r="E466" s="76"/>
      <c r="F466" s="75"/>
      <c r="G466" s="75"/>
    </row>
    <row r="467" spans="1:7">
      <c r="A467" s="57" t="s">
        <v>2320</v>
      </c>
      <c r="B467" s="57"/>
      <c r="C467" s="57" t="s">
        <v>2254</v>
      </c>
      <c r="D467" s="57" t="s">
        <v>2656</v>
      </c>
      <c r="E467" s="58" t="s">
        <v>2395</v>
      </c>
      <c r="F467" s="58" t="s">
        <v>2630</v>
      </c>
      <c r="G467" s="57" t="s">
        <v>2237</v>
      </c>
    </row>
    <row r="468" spans="1:7" ht="17.100000000000001">
      <c r="A468" s="75" t="s">
        <v>2575</v>
      </c>
      <c r="B468" s="75"/>
      <c r="C468" s="75"/>
      <c r="D468" s="75"/>
      <c r="E468" s="76"/>
      <c r="F468" s="75"/>
      <c r="G468" s="75"/>
    </row>
    <row r="469" spans="1:7">
      <c r="A469" s="57" t="s">
        <v>2440</v>
      </c>
      <c r="B469" s="57" t="s">
        <v>2334</v>
      </c>
      <c r="C469" s="57" t="s">
        <v>2441</v>
      </c>
      <c r="D469" s="57" t="s">
        <v>2656</v>
      </c>
      <c r="E469" s="58" t="s">
        <v>2658</v>
      </c>
      <c r="F469" s="58" t="s">
        <v>2630</v>
      </c>
      <c r="G469" s="57" t="s">
        <v>2442</v>
      </c>
    </row>
    <row r="470" spans="1:7">
      <c r="A470" s="57" t="s">
        <v>2403</v>
      </c>
      <c r="B470" s="57" t="s">
        <v>2331</v>
      </c>
      <c r="C470" s="57" t="s">
        <v>2390</v>
      </c>
      <c r="D470" s="57" t="s">
        <v>2656</v>
      </c>
      <c r="E470" s="58" t="s">
        <v>2392</v>
      </c>
      <c r="F470" s="58" t="s">
        <v>2630</v>
      </c>
      <c r="G470" s="57" t="s">
        <v>2404</v>
      </c>
    </row>
    <row r="471" spans="1:7">
      <c r="A471" s="57" t="s">
        <v>2405</v>
      </c>
      <c r="B471" s="57" t="s">
        <v>2406</v>
      </c>
      <c r="C471" s="57" t="s">
        <v>2390</v>
      </c>
      <c r="D471" s="57" t="s">
        <v>2656</v>
      </c>
      <c r="E471" s="58" t="s">
        <v>2392</v>
      </c>
      <c r="F471" s="58" t="s">
        <v>2630</v>
      </c>
      <c r="G471" s="57" t="s">
        <v>2407</v>
      </c>
    </row>
    <row r="472" spans="1:7">
      <c r="A472" s="57" t="s">
        <v>2342</v>
      </c>
      <c r="B472" s="57"/>
      <c r="C472" s="57" t="s">
        <v>2254</v>
      </c>
      <c r="D472" s="57" t="s">
        <v>2656</v>
      </c>
      <c r="E472" s="58" t="s">
        <v>2395</v>
      </c>
      <c r="F472" s="58" t="s">
        <v>2630</v>
      </c>
      <c r="G472" s="57" t="s">
        <v>2237</v>
      </c>
    </row>
    <row r="473" spans="1:7" ht="17.100000000000001">
      <c r="A473" s="75" t="s">
        <v>2576</v>
      </c>
      <c r="B473" s="75"/>
      <c r="C473" s="75"/>
      <c r="D473" s="75"/>
      <c r="E473" s="76"/>
      <c r="F473" s="75"/>
      <c r="G473" s="75"/>
    </row>
    <row r="474" spans="1:7">
      <c r="A474" s="57" t="s">
        <v>2409</v>
      </c>
      <c r="B474" s="57" t="s">
        <v>2236</v>
      </c>
      <c r="C474" s="57" t="s">
        <v>2390</v>
      </c>
      <c r="D474" s="57" t="s">
        <v>2656</v>
      </c>
      <c r="E474" s="58" t="s">
        <v>2392</v>
      </c>
      <c r="F474" s="58" t="s">
        <v>2630</v>
      </c>
      <c r="G474" s="57" t="s">
        <v>2237</v>
      </c>
    </row>
    <row r="475" spans="1:7">
      <c r="A475" s="57" t="s">
        <v>2410</v>
      </c>
      <c r="B475" s="57" t="s">
        <v>2236</v>
      </c>
      <c r="C475" s="57" t="s">
        <v>2411</v>
      </c>
      <c r="D475" s="57" t="s">
        <v>2656</v>
      </c>
      <c r="E475" s="58" t="s">
        <v>2412</v>
      </c>
      <c r="F475" s="58" t="s">
        <v>2630</v>
      </c>
      <c r="G475" s="57" t="s">
        <v>2413</v>
      </c>
    </row>
    <row r="476" spans="1:7" ht="17.100000000000001">
      <c r="A476" s="75" t="s">
        <v>2577</v>
      </c>
      <c r="B476" s="75"/>
      <c r="C476" s="75"/>
      <c r="D476" s="75"/>
      <c r="E476" s="76"/>
      <c r="F476" s="75"/>
      <c r="G476" s="75"/>
    </row>
    <row r="477" spans="1:7">
      <c r="A477" s="57" t="s">
        <v>2361</v>
      </c>
      <c r="B477" s="57" t="s">
        <v>2362</v>
      </c>
      <c r="C477" s="57" t="s">
        <v>2363</v>
      </c>
      <c r="D477" s="57" t="s">
        <v>2656</v>
      </c>
      <c r="E477" s="58" t="s">
        <v>2659</v>
      </c>
      <c r="F477" s="58" t="s">
        <v>2630</v>
      </c>
      <c r="G477" s="57" t="s">
        <v>2365</v>
      </c>
    </row>
    <row r="478" spans="1:7">
      <c r="A478" s="57" t="s">
        <v>2660</v>
      </c>
      <c r="B478" s="57" t="s">
        <v>2358</v>
      </c>
      <c r="C478" s="57" t="s">
        <v>2658</v>
      </c>
      <c r="D478" s="57" t="s">
        <v>2656</v>
      </c>
      <c r="E478" s="58" t="s">
        <v>2658</v>
      </c>
      <c r="F478" s="58" t="s">
        <v>2630</v>
      </c>
      <c r="G478" s="57" t="s">
        <v>2237</v>
      </c>
    </row>
    <row r="479" spans="1:7" ht="17.100000000000001">
      <c r="A479" s="75" t="s">
        <v>2578</v>
      </c>
      <c r="B479" s="75"/>
      <c r="C479" s="75"/>
      <c r="D479" s="75"/>
      <c r="E479" s="76"/>
      <c r="F479" s="75"/>
      <c r="G479" s="75"/>
    </row>
    <row r="480" spans="1:7">
      <c r="A480" s="57" t="s">
        <v>2416</v>
      </c>
      <c r="B480" s="57"/>
      <c r="C480" s="57" t="s">
        <v>2390</v>
      </c>
      <c r="D480" s="57" t="s">
        <v>2656</v>
      </c>
      <c r="E480" s="58" t="s">
        <v>2392</v>
      </c>
      <c r="F480" s="58" t="s">
        <v>2630</v>
      </c>
      <c r="G480" s="57" t="s">
        <v>2417</v>
      </c>
    </row>
    <row r="481" spans="1:7">
      <c r="A481" s="57" t="s">
        <v>2418</v>
      </c>
      <c r="B481" s="57" t="s">
        <v>2385</v>
      </c>
      <c r="C481" s="57" t="s">
        <v>2390</v>
      </c>
      <c r="D481" s="57" t="s">
        <v>2656</v>
      </c>
      <c r="E481" s="58" t="s">
        <v>2392</v>
      </c>
      <c r="F481" s="58" t="s">
        <v>2630</v>
      </c>
      <c r="G481" s="57" t="s">
        <v>2419</v>
      </c>
    </row>
    <row r="482" spans="1:7">
      <c r="A482" s="57" t="s">
        <v>2382</v>
      </c>
      <c r="B482" s="57"/>
      <c r="C482" s="57" t="s">
        <v>2254</v>
      </c>
      <c r="D482" s="57" t="s">
        <v>2656</v>
      </c>
      <c r="E482" s="58" t="s">
        <v>2395</v>
      </c>
      <c r="F482" s="58" t="s">
        <v>2630</v>
      </c>
      <c r="G482" s="57" t="s">
        <v>2237</v>
      </c>
    </row>
    <row r="483" spans="1:7" ht="17.100000000000001">
      <c r="A483" s="75" t="s">
        <v>2579</v>
      </c>
      <c r="B483" s="75"/>
      <c r="C483" s="75"/>
      <c r="D483" s="75"/>
      <c r="E483" s="76"/>
      <c r="F483" s="75"/>
      <c r="G483" s="75"/>
    </row>
    <row r="484" spans="1:7">
      <c r="A484" s="57" t="s">
        <v>2389</v>
      </c>
      <c r="B484" s="57" t="s">
        <v>2241</v>
      </c>
      <c r="C484" s="57" t="s">
        <v>2390</v>
      </c>
      <c r="D484" s="57" t="s">
        <v>2661</v>
      </c>
      <c r="E484" s="58" t="s">
        <v>2392</v>
      </c>
      <c r="F484" s="58" t="s">
        <v>2630</v>
      </c>
      <c r="G484" s="57" t="s">
        <v>2393</v>
      </c>
    </row>
    <row r="485" spans="1:7">
      <c r="A485" s="57" t="s">
        <v>2235</v>
      </c>
      <c r="B485" s="57" t="s">
        <v>2236</v>
      </c>
      <c r="C485" s="57" t="s">
        <v>1212</v>
      </c>
      <c r="D485" s="57" t="s">
        <v>2661</v>
      </c>
      <c r="E485" s="58" t="s">
        <v>1212</v>
      </c>
      <c r="F485" s="58" t="s">
        <v>2630</v>
      </c>
      <c r="G485" s="57" t="s">
        <v>2237</v>
      </c>
    </row>
    <row r="486" spans="1:7">
      <c r="A486" s="57" t="s">
        <v>2238</v>
      </c>
      <c r="B486" s="57"/>
      <c r="C486" s="57" t="s">
        <v>2239</v>
      </c>
      <c r="D486" s="57" t="s">
        <v>2661</v>
      </c>
      <c r="E486" s="58" t="s">
        <v>1212</v>
      </c>
      <c r="F486" s="58" t="s">
        <v>2630</v>
      </c>
      <c r="G486" s="57" t="s">
        <v>2237</v>
      </c>
    </row>
    <row r="487" spans="1:7" ht="17.100000000000001">
      <c r="A487" s="75" t="s">
        <v>2581</v>
      </c>
      <c r="B487" s="75"/>
      <c r="C487" s="75"/>
      <c r="D487" s="75"/>
      <c r="E487" s="76"/>
      <c r="F487" s="75"/>
      <c r="G487" s="75"/>
    </row>
    <row r="488" spans="1:7">
      <c r="A488" s="57" t="s">
        <v>2253</v>
      </c>
      <c r="B488" s="57" t="s">
        <v>2236</v>
      </c>
      <c r="C488" s="57" t="s">
        <v>2254</v>
      </c>
      <c r="D488" s="57" t="s">
        <v>2661</v>
      </c>
      <c r="E488" s="58" t="s">
        <v>2395</v>
      </c>
      <c r="F488" s="58" t="s">
        <v>2630</v>
      </c>
      <c r="G488" s="57" t="s">
        <v>2237</v>
      </c>
    </row>
    <row r="489" spans="1:7" ht="17.100000000000001">
      <c r="A489" s="75" t="s">
        <v>2582</v>
      </c>
      <c r="B489" s="75"/>
      <c r="C489" s="75"/>
      <c r="D489" s="75"/>
      <c r="E489" s="76"/>
      <c r="F489" s="75"/>
      <c r="G489" s="75"/>
    </row>
    <row r="490" spans="1:7">
      <c r="A490" s="57" t="s">
        <v>2287</v>
      </c>
      <c r="B490" s="57" t="s">
        <v>2248</v>
      </c>
      <c r="C490" s="57" t="s">
        <v>2288</v>
      </c>
      <c r="D490" s="57" t="s">
        <v>2661</v>
      </c>
      <c r="E490" s="58" t="s">
        <v>2395</v>
      </c>
      <c r="F490" s="58" t="s">
        <v>2630</v>
      </c>
      <c r="G490" s="57" t="s">
        <v>2237</v>
      </c>
    </row>
    <row r="491" spans="1:7">
      <c r="A491" s="57" t="s">
        <v>2289</v>
      </c>
      <c r="B491" s="57" t="s">
        <v>2248</v>
      </c>
      <c r="C491" s="57" t="s">
        <v>2254</v>
      </c>
      <c r="D491" s="57" t="s">
        <v>2661</v>
      </c>
      <c r="E491" s="58" t="s">
        <v>2395</v>
      </c>
      <c r="F491" s="58" t="s">
        <v>2630</v>
      </c>
      <c r="G491" s="57" t="s">
        <v>2237</v>
      </c>
    </row>
    <row r="492" spans="1:7">
      <c r="A492" s="57" t="s">
        <v>2290</v>
      </c>
      <c r="B492" s="57" t="s">
        <v>2248</v>
      </c>
      <c r="C492" s="57" t="s">
        <v>2254</v>
      </c>
      <c r="D492" s="57" t="s">
        <v>2661</v>
      </c>
      <c r="E492" s="58" t="s">
        <v>2395</v>
      </c>
      <c r="F492" s="58" t="s">
        <v>2630</v>
      </c>
      <c r="G492" s="57" t="s">
        <v>2237</v>
      </c>
    </row>
    <row r="493" spans="1:7">
      <c r="A493" s="57" t="s">
        <v>2291</v>
      </c>
      <c r="B493" s="57" t="s">
        <v>2292</v>
      </c>
      <c r="C493" s="57" t="s">
        <v>2254</v>
      </c>
      <c r="D493" s="57" t="s">
        <v>2661</v>
      </c>
      <c r="E493" s="58" t="s">
        <v>2395</v>
      </c>
      <c r="F493" s="58" t="s">
        <v>2630</v>
      </c>
      <c r="G493" s="57" t="s">
        <v>2237</v>
      </c>
    </row>
    <row r="494" spans="1:7">
      <c r="A494" s="57" t="s">
        <v>2293</v>
      </c>
      <c r="B494" s="57"/>
      <c r="C494" s="57" t="s">
        <v>2254</v>
      </c>
      <c r="D494" s="57" t="s">
        <v>2661</v>
      </c>
      <c r="E494" s="58" t="s">
        <v>2395</v>
      </c>
      <c r="F494" s="58" t="s">
        <v>2630</v>
      </c>
      <c r="G494" s="57" t="s">
        <v>2237</v>
      </c>
    </row>
    <row r="495" spans="1:7">
      <c r="A495" s="57" t="s">
        <v>2294</v>
      </c>
      <c r="B495" s="57"/>
      <c r="C495" s="57" t="s">
        <v>2254</v>
      </c>
      <c r="D495" s="57" t="s">
        <v>2661</v>
      </c>
      <c r="E495" s="58" t="s">
        <v>2395</v>
      </c>
      <c r="F495" s="58" t="s">
        <v>2630</v>
      </c>
      <c r="G495" s="57" t="s">
        <v>2237</v>
      </c>
    </row>
    <row r="496" spans="1:7">
      <c r="A496" s="57" t="s">
        <v>2295</v>
      </c>
      <c r="B496" s="57"/>
      <c r="C496" s="57" t="s">
        <v>2254</v>
      </c>
      <c r="D496" s="57" t="s">
        <v>2661</v>
      </c>
      <c r="E496" s="58" t="s">
        <v>2395</v>
      </c>
      <c r="F496" s="58" t="s">
        <v>2630</v>
      </c>
      <c r="G496" s="57" t="s">
        <v>2237</v>
      </c>
    </row>
    <row r="497" spans="1:7" ht="17.100000000000001">
      <c r="A497" s="75" t="s">
        <v>2583</v>
      </c>
      <c r="B497" s="75"/>
      <c r="C497" s="75"/>
      <c r="D497" s="75"/>
      <c r="E497" s="76"/>
      <c r="F497" s="75"/>
      <c r="G497" s="75"/>
    </row>
    <row r="498" spans="1:7">
      <c r="A498" s="57" t="s">
        <v>2304</v>
      </c>
      <c r="B498" s="57"/>
      <c r="C498" s="57" t="s">
        <v>2254</v>
      </c>
      <c r="D498" s="57" t="s">
        <v>2661</v>
      </c>
      <c r="E498" s="58" t="s">
        <v>2395</v>
      </c>
      <c r="F498" s="58" t="s">
        <v>2630</v>
      </c>
      <c r="G498" s="57" t="s">
        <v>2237</v>
      </c>
    </row>
    <row r="499" spans="1:7">
      <c r="A499" s="57" t="s">
        <v>2305</v>
      </c>
      <c r="B499" s="57"/>
      <c r="C499" s="57" t="s">
        <v>2254</v>
      </c>
      <c r="D499" s="57" t="s">
        <v>2661</v>
      </c>
      <c r="E499" s="58" t="s">
        <v>2395</v>
      </c>
      <c r="F499" s="58" t="s">
        <v>2630</v>
      </c>
      <c r="G499" s="57" t="s">
        <v>2237</v>
      </c>
    </row>
    <row r="500" spans="1:7" ht="17.100000000000001">
      <c r="A500" s="75" t="s">
        <v>2584</v>
      </c>
      <c r="B500" s="75"/>
      <c r="C500" s="75"/>
      <c r="D500" s="75"/>
      <c r="E500" s="76"/>
      <c r="F500" s="75"/>
      <c r="G500" s="75"/>
    </row>
    <row r="501" spans="1:7">
      <c r="A501" s="57" t="s">
        <v>2320</v>
      </c>
      <c r="B501" s="57"/>
      <c r="C501" s="57" t="s">
        <v>2254</v>
      </c>
      <c r="D501" s="57" t="s">
        <v>2661</v>
      </c>
      <c r="E501" s="58" t="s">
        <v>2395</v>
      </c>
      <c r="F501" s="58" t="s">
        <v>2630</v>
      </c>
      <c r="G501" s="57" t="s">
        <v>2237</v>
      </c>
    </row>
    <row r="502" spans="1:7" ht="17.100000000000001">
      <c r="A502" s="75" t="s">
        <v>2585</v>
      </c>
      <c r="B502" s="75"/>
      <c r="C502" s="75"/>
      <c r="D502" s="75"/>
      <c r="E502" s="76"/>
      <c r="F502" s="75"/>
      <c r="G502" s="75"/>
    </row>
    <row r="503" spans="1:7">
      <c r="A503" s="57" t="s">
        <v>2403</v>
      </c>
      <c r="B503" s="57" t="s">
        <v>2331</v>
      </c>
      <c r="C503" s="57" t="s">
        <v>2390</v>
      </c>
      <c r="D503" s="57" t="s">
        <v>2661</v>
      </c>
      <c r="E503" s="58" t="s">
        <v>2392</v>
      </c>
      <c r="F503" s="58" t="s">
        <v>2630</v>
      </c>
      <c r="G503" s="57" t="s">
        <v>2404</v>
      </c>
    </row>
    <row r="504" spans="1:7">
      <c r="A504" s="57" t="s">
        <v>2405</v>
      </c>
      <c r="B504" s="57" t="s">
        <v>2406</v>
      </c>
      <c r="C504" s="57" t="s">
        <v>2390</v>
      </c>
      <c r="D504" s="57" t="s">
        <v>2661</v>
      </c>
      <c r="E504" s="58" t="s">
        <v>2392</v>
      </c>
      <c r="F504" s="58" t="s">
        <v>2630</v>
      </c>
      <c r="G504" s="57" t="s">
        <v>2407</v>
      </c>
    </row>
    <row r="505" spans="1:7">
      <c r="A505" s="57" t="s">
        <v>2342</v>
      </c>
      <c r="B505" s="57"/>
      <c r="C505" s="57" t="s">
        <v>2254</v>
      </c>
      <c r="D505" s="57" t="s">
        <v>2661</v>
      </c>
      <c r="E505" s="58" t="s">
        <v>2395</v>
      </c>
      <c r="F505" s="58" t="s">
        <v>2630</v>
      </c>
      <c r="G505" s="57" t="s">
        <v>2237</v>
      </c>
    </row>
    <row r="506" spans="1:7" ht="17.100000000000001">
      <c r="A506" s="75" t="s">
        <v>2587</v>
      </c>
      <c r="B506" s="75"/>
      <c r="C506" s="75"/>
      <c r="D506" s="75"/>
      <c r="E506" s="76"/>
      <c r="F506" s="75"/>
      <c r="G506" s="75"/>
    </row>
    <row r="507" spans="1:7">
      <c r="A507" s="57" t="s">
        <v>2409</v>
      </c>
      <c r="B507" s="57" t="s">
        <v>2236</v>
      </c>
      <c r="C507" s="57" t="s">
        <v>2390</v>
      </c>
      <c r="D507" s="57" t="s">
        <v>2661</v>
      </c>
      <c r="E507" s="58" t="s">
        <v>2392</v>
      </c>
      <c r="F507" s="58" t="s">
        <v>2630</v>
      </c>
      <c r="G507" s="57" t="s">
        <v>2237</v>
      </c>
    </row>
    <row r="508" spans="1:7">
      <c r="A508" s="57" t="s">
        <v>2410</v>
      </c>
      <c r="B508" s="57" t="s">
        <v>2236</v>
      </c>
      <c r="C508" s="57" t="s">
        <v>2411</v>
      </c>
      <c r="D508" s="57" t="s">
        <v>2661</v>
      </c>
      <c r="E508" s="58" t="s">
        <v>2412</v>
      </c>
      <c r="F508" s="58" t="s">
        <v>2630</v>
      </c>
      <c r="G508" s="57" t="s">
        <v>2413</v>
      </c>
    </row>
    <row r="509" spans="1:7" ht="17.100000000000001">
      <c r="A509" s="75" t="s">
        <v>2662</v>
      </c>
      <c r="B509" s="75"/>
      <c r="C509" s="75"/>
      <c r="D509" s="75"/>
      <c r="E509" s="76"/>
      <c r="F509" s="75"/>
      <c r="G509" s="75"/>
    </row>
    <row r="510" spans="1:7">
      <c r="A510" s="57" t="s">
        <v>2361</v>
      </c>
      <c r="B510" s="57" t="s">
        <v>2362</v>
      </c>
      <c r="C510" s="57" t="s">
        <v>2363</v>
      </c>
      <c r="D510" s="57" t="s">
        <v>2661</v>
      </c>
      <c r="E510" s="58" t="s">
        <v>2364</v>
      </c>
      <c r="F510" s="58" t="s">
        <v>2630</v>
      </c>
      <c r="G510" s="57" t="s">
        <v>2365</v>
      </c>
    </row>
    <row r="511" spans="1:7">
      <c r="A511" s="57" t="s">
        <v>2647</v>
      </c>
      <c r="B511" s="57"/>
      <c r="C511" s="57" t="s">
        <v>2648</v>
      </c>
      <c r="D511" s="57" t="s">
        <v>2661</v>
      </c>
      <c r="E511" s="58" t="s">
        <v>2649</v>
      </c>
      <c r="F511" s="58" t="s">
        <v>2630</v>
      </c>
      <c r="G511" s="57" t="s">
        <v>2237</v>
      </c>
    </row>
    <row r="512" spans="1:7" ht="17.100000000000001">
      <c r="A512" s="75" t="s">
        <v>2588</v>
      </c>
      <c r="B512" s="75"/>
      <c r="C512" s="75"/>
      <c r="D512" s="75"/>
      <c r="E512" s="76"/>
      <c r="F512" s="75"/>
      <c r="G512" s="75"/>
    </row>
    <row r="513" spans="1:7">
      <c r="A513" s="57" t="s">
        <v>2416</v>
      </c>
      <c r="B513" s="57"/>
      <c r="C513" s="57" t="s">
        <v>2390</v>
      </c>
      <c r="D513" s="57" t="s">
        <v>2661</v>
      </c>
      <c r="E513" s="58" t="s">
        <v>2392</v>
      </c>
      <c r="F513" s="58" t="s">
        <v>2630</v>
      </c>
      <c r="G513" s="57" t="s">
        <v>2417</v>
      </c>
    </row>
    <row r="514" spans="1:7">
      <c r="A514" s="57" t="s">
        <v>2418</v>
      </c>
      <c r="B514" s="57" t="s">
        <v>2385</v>
      </c>
      <c r="C514" s="57" t="s">
        <v>2390</v>
      </c>
      <c r="D514" s="57" t="s">
        <v>2661</v>
      </c>
      <c r="E514" s="58" t="s">
        <v>2392</v>
      </c>
      <c r="F514" s="58" t="s">
        <v>2630</v>
      </c>
      <c r="G514" s="57" t="s">
        <v>2419</v>
      </c>
    </row>
    <row r="515" spans="1:7">
      <c r="A515" s="57" t="s">
        <v>2382</v>
      </c>
      <c r="B515" s="57"/>
      <c r="C515" s="57" t="s">
        <v>2254</v>
      </c>
      <c r="D515" s="57" t="s">
        <v>2661</v>
      </c>
      <c r="E515" s="58" t="s">
        <v>2395</v>
      </c>
      <c r="F515" s="58" t="s">
        <v>2630</v>
      </c>
      <c r="G515" s="57" t="s">
        <v>2237</v>
      </c>
    </row>
    <row r="516" spans="1:7" ht="17.100000000000001">
      <c r="A516" s="75" t="s">
        <v>2589</v>
      </c>
      <c r="B516" s="75"/>
      <c r="C516" s="75"/>
      <c r="D516" s="75"/>
      <c r="E516" s="76"/>
      <c r="F516" s="75"/>
      <c r="G516" s="75"/>
    </row>
    <row r="517" spans="1:7">
      <c r="A517" s="57" t="s">
        <v>2230</v>
      </c>
      <c r="B517" s="57" t="s">
        <v>2231</v>
      </c>
      <c r="C517" s="57" t="s">
        <v>1562</v>
      </c>
      <c r="D517" s="57" t="s">
        <v>2634</v>
      </c>
      <c r="E517" s="58" t="s">
        <v>108</v>
      </c>
      <c r="F517" s="58" t="s">
        <v>2630</v>
      </c>
      <c r="G517" s="57" t="s">
        <v>2233</v>
      </c>
    </row>
    <row r="518" spans="1:7">
      <c r="A518" s="57" t="s">
        <v>2235</v>
      </c>
      <c r="B518" s="57" t="s">
        <v>2236</v>
      </c>
      <c r="C518" s="57" t="s">
        <v>1212</v>
      </c>
      <c r="D518" s="57" t="s">
        <v>2634</v>
      </c>
      <c r="E518" s="58" t="s">
        <v>1212</v>
      </c>
      <c r="F518" s="58" t="s">
        <v>2630</v>
      </c>
      <c r="G518" s="57" t="s">
        <v>2237</v>
      </c>
    </row>
    <row r="519" spans="1:7">
      <c r="A519" s="57" t="s">
        <v>2238</v>
      </c>
      <c r="B519" s="57"/>
      <c r="C519" s="57" t="s">
        <v>2239</v>
      </c>
      <c r="D519" s="57" t="s">
        <v>2634</v>
      </c>
      <c r="E519" s="58" t="s">
        <v>2239</v>
      </c>
      <c r="F519" s="58" t="s">
        <v>2630</v>
      </c>
      <c r="G519" s="57" t="s">
        <v>2237</v>
      </c>
    </row>
    <row r="520" spans="1:7">
      <c r="A520" s="57" t="s">
        <v>2240</v>
      </c>
      <c r="B520" s="57" t="s">
        <v>2241</v>
      </c>
      <c r="C520" s="57" t="s">
        <v>108</v>
      </c>
      <c r="D520" s="57" t="s">
        <v>2634</v>
      </c>
      <c r="E520" s="58" t="s">
        <v>108</v>
      </c>
      <c r="F520" s="58" t="s">
        <v>2630</v>
      </c>
      <c r="G520" s="57" t="s">
        <v>2237</v>
      </c>
    </row>
    <row r="521" spans="1:7">
      <c r="A521" s="57" t="s">
        <v>2242</v>
      </c>
      <c r="B521" s="57" t="s">
        <v>2243</v>
      </c>
      <c r="C521" s="57" t="s">
        <v>108</v>
      </c>
      <c r="D521" s="57" t="s">
        <v>2634</v>
      </c>
      <c r="E521" s="58" t="s">
        <v>108</v>
      </c>
      <c r="F521" s="58" t="s">
        <v>2630</v>
      </c>
      <c r="G521" s="57" t="s">
        <v>2244</v>
      </c>
    </row>
    <row r="522" spans="1:7">
      <c r="A522" s="57" t="s">
        <v>2245</v>
      </c>
      <c r="B522" s="57"/>
      <c r="C522" s="57" t="s">
        <v>108</v>
      </c>
      <c r="D522" s="57" t="s">
        <v>2634</v>
      </c>
      <c r="E522" s="58" t="s">
        <v>108</v>
      </c>
      <c r="F522" s="58" t="s">
        <v>2630</v>
      </c>
      <c r="G522" s="57" t="s">
        <v>2237</v>
      </c>
    </row>
    <row r="523" spans="1:7" ht="17.100000000000001">
      <c r="A523" s="75" t="s">
        <v>2591</v>
      </c>
      <c r="B523" s="75"/>
      <c r="C523" s="75"/>
      <c r="D523" s="75"/>
      <c r="E523" s="76"/>
      <c r="F523" s="75"/>
      <c r="G523" s="75"/>
    </row>
    <row r="524" spans="1:7">
      <c r="A524" s="57" t="s">
        <v>2247</v>
      </c>
      <c r="B524" s="57" t="s">
        <v>2248</v>
      </c>
      <c r="C524" s="57" t="s">
        <v>108</v>
      </c>
      <c r="D524" s="57" t="s">
        <v>2634</v>
      </c>
      <c r="E524" s="58" t="s">
        <v>108</v>
      </c>
      <c r="F524" s="58" t="s">
        <v>2630</v>
      </c>
      <c r="G524" s="57" t="s">
        <v>2237</v>
      </c>
    </row>
    <row r="525" spans="1:7">
      <c r="A525" s="57" t="s">
        <v>2249</v>
      </c>
      <c r="B525" s="57" t="s">
        <v>2250</v>
      </c>
      <c r="C525" s="57" t="s">
        <v>108</v>
      </c>
      <c r="D525" s="57" t="s">
        <v>2634</v>
      </c>
      <c r="E525" s="58" t="s">
        <v>108</v>
      </c>
      <c r="F525" s="58" t="s">
        <v>2630</v>
      </c>
      <c r="G525" s="57" t="s">
        <v>2251</v>
      </c>
    </row>
    <row r="526" spans="1:7">
      <c r="A526" s="57" t="s">
        <v>2252</v>
      </c>
      <c r="B526" s="57" t="s">
        <v>2250</v>
      </c>
      <c r="C526" s="57" t="s">
        <v>108</v>
      </c>
      <c r="D526" s="57" t="s">
        <v>2634</v>
      </c>
      <c r="E526" s="58" t="s">
        <v>108</v>
      </c>
      <c r="F526" s="58" t="s">
        <v>2630</v>
      </c>
      <c r="G526" s="57" t="s">
        <v>2237</v>
      </c>
    </row>
    <row r="527" spans="1:7">
      <c r="A527" s="57" t="s">
        <v>2253</v>
      </c>
      <c r="B527" s="57" t="s">
        <v>2236</v>
      </c>
      <c r="C527" s="57" t="s">
        <v>2254</v>
      </c>
      <c r="D527" s="57" t="s">
        <v>2634</v>
      </c>
      <c r="E527" s="58" t="s">
        <v>2255</v>
      </c>
      <c r="F527" s="58" t="s">
        <v>2630</v>
      </c>
      <c r="G527" s="57" t="s">
        <v>2237</v>
      </c>
    </row>
    <row r="528" spans="1:7">
      <c r="A528" s="57" t="s">
        <v>2256</v>
      </c>
      <c r="B528" s="57" t="s">
        <v>2257</v>
      </c>
      <c r="C528" s="57" t="s">
        <v>108</v>
      </c>
      <c r="D528" s="57" t="s">
        <v>2634</v>
      </c>
      <c r="E528" s="58" t="s">
        <v>108</v>
      </c>
      <c r="F528" s="58" t="s">
        <v>2630</v>
      </c>
      <c r="G528" s="57" t="s">
        <v>2258</v>
      </c>
    </row>
    <row r="529" spans="1:7" ht="17.100000000000001">
      <c r="A529" s="75" t="s">
        <v>2592</v>
      </c>
      <c r="B529" s="75"/>
      <c r="C529" s="75"/>
      <c r="D529" s="75"/>
      <c r="E529" s="76"/>
      <c r="F529" s="75"/>
      <c r="G529" s="75"/>
    </row>
    <row r="530" spans="1:7">
      <c r="A530" s="57" t="s">
        <v>2260</v>
      </c>
      <c r="B530" s="57" t="s">
        <v>2261</v>
      </c>
      <c r="C530" s="57" t="s">
        <v>108</v>
      </c>
      <c r="D530" s="57" t="s">
        <v>2634</v>
      </c>
      <c r="E530" s="58" t="s">
        <v>108</v>
      </c>
      <c r="F530" s="58" t="s">
        <v>2630</v>
      </c>
      <c r="G530" s="57" t="s">
        <v>2237</v>
      </c>
    </row>
    <row r="531" spans="1:7">
      <c r="A531" s="57" t="s">
        <v>2262</v>
      </c>
      <c r="B531" s="57" t="s">
        <v>2261</v>
      </c>
      <c r="C531" s="57" t="s">
        <v>2263</v>
      </c>
      <c r="D531" s="57" t="s">
        <v>2634</v>
      </c>
      <c r="E531" s="58" t="s">
        <v>2636</v>
      </c>
      <c r="F531" s="58" t="s">
        <v>2630</v>
      </c>
      <c r="G531" s="57" t="s">
        <v>2237</v>
      </c>
    </row>
    <row r="532" spans="1:7">
      <c r="A532" s="57" t="s">
        <v>2264</v>
      </c>
      <c r="B532" s="57" t="s">
        <v>2261</v>
      </c>
      <c r="C532" s="57" t="s">
        <v>2265</v>
      </c>
      <c r="D532" s="57" t="s">
        <v>2634</v>
      </c>
      <c r="E532" s="58" t="s">
        <v>108</v>
      </c>
      <c r="F532" s="58" t="s">
        <v>2630</v>
      </c>
      <c r="G532" s="57" t="s">
        <v>2266</v>
      </c>
    </row>
    <row r="533" spans="1:7">
      <c r="A533" s="57" t="s">
        <v>2267</v>
      </c>
      <c r="B533" s="57" t="s">
        <v>2261</v>
      </c>
      <c r="C533" s="57" t="s">
        <v>108</v>
      </c>
      <c r="D533" s="57" t="s">
        <v>2634</v>
      </c>
      <c r="E533" s="58" t="s">
        <v>108</v>
      </c>
      <c r="F533" s="58" t="s">
        <v>2630</v>
      </c>
      <c r="G533" s="57" t="s">
        <v>2237</v>
      </c>
    </row>
    <row r="534" spans="1:7" ht="17.100000000000001">
      <c r="A534" s="75" t="s">
        <v>2593</v>
      </c>
      <c r="B534" s="75"/>
      <c r="C534" s="75"/>
      <c r="D534" s="75"/>
      <c r="E534" s="76"/>
      <c r="F534" s="75"/>
      <c r="G534" s="75"/>
    </row>
    <row r="535" spans="1:7">
      <c r="A535" s="57" t="s">
        <v>2269</v>
      </c>
      <c r="B535" s="57" t="s">
        <v>2270</v>
      </c>
      <c r="C535" s="57" t="s">
        <v>2271</v>
      </c>
      <c r="D535" s="57" t="s">
        <v>2634</v>
      </c>
      <c r="E535" s="58" t="s">
        <v>108</v>
      </c>
      <c r="F535" s="58" t="s">
        <v>2630</v>
      </c>
      <c r="G535" s="57" t="s">
        <v>2237</v>
      </c>
    </row>
    <row r="536" spans="1:7">
      <c r="A536" s="57" t="s">
        <v>2272</v>
      </c>
      <c r="B536" s="57" t="s">
        <v>2273</v>
      </c>
      <c r="C536" s="57" t="s">
        <v>108</v>
      </c>
      <c r="D536" s="57" t="s">
        <v>2634</v>
      </c>
      <c r="E536" s="58" t="s">
        <v>108</v>
      </c>
      <c r="F536" s="58" t="s">
        <v>2630</v>
      </c>
      <c r="G536" s="57" t="s">
        <v>2237</v>
      </c>
    </row>
    <row r="537" spans="1:7">
      <c r="A537" s="57" t="s">
        <v>2274</v>
      </c>
      <c r="B537" s="57" t="s">
        <v>2270</v>
      </c>
      <c r="C537" s="57" t="s">
        <v>2275</v>
      </c>
      <c r="D537" s="57" t="s">
        <v>2634</v>
      </c>
      <c r="E537" s="58" t="s">
        <v>108</v>
      </c>
      <c r="F537" s="58" t="s">
        <v>2630</v>
      </c>
      <c r="G537" s="57" t="s">
        <v>2237</v>
      </c>
    </row>
    <row r="538" spans="1:7">
      <c r="A538" s="57" t="s">
        <v>2276</v>
      </c>
      <c r="B538" s="57" t="s">
        <v>2273</v>
      </c>
      <c r="C538" s="57" t="s">
        <v>2277</v>
      </c>
      <c r="D538" s="57" t="s">
        <v>2634</v>
      </c>
      <c r="E538" s="58" t="s">
        <v>108</v>
      </c>
      <c r="F538" s="58" t="s">
        <v>2630</v>
      </c>
      <c r="G538" s="57" t="s">
        <v>2278</v>
      </c>
    </row>
    <row r="539" spans="1:7">
      <c r="A539" s="57" t="s">
        <v>2279</v>
      </c>
      <c r="B539" s="57" t="s">
        <v>2280</v>
      </c>
      <c r="C539" s="57" t="s">
        <v>108</v>
      </c>
      <c r="D539" s="57" t="s">
        <v>2634</v>
      </c>
      <c r="E539" s="58" t="s">
        <v>108</v>
      </c>
      <c r="F539" s="58" t="s">
        <v>2630</v>
      </c>
      <c r="G539" s="57" t="s">
        <v>2281</v>
      </c>
    </row>
    <row r="540" spans="1:7">
      <c r="A540" s="57" t="s">
        <v>2282</v>
      </c>
      <c r="B540" s="57" t="s">
        <v>2280</v>
      </c>
      <c r="C540" s="57" t="s">
        <v>108</v>
      </c>
      <c r="D540" s="57" t="s">
        <v>2634</v>
      </c>
      <c r="E540" s="58" t="s">
        <v>108</v>
      </c>
      <c r="F540" s="58" t="s">
        <v>2630</v>
      </c>
      <c r="G540" s="57" t="s">
        <v>2237</v>
      </c>
    </row>
    <row r="541" spans="1:7" ht="17.100000000000001">
      <c r="A541" s="75" t="s">
        <v>2594</v>
      </c>
      <c r="B541" s="75"/>
      <c r="C541" s="75"/>
      <c r="D541" s="75"/>
      <c r="E541" s="76"/>
      <c r="F541" s="75"/>
      <c r="G541" s="75"/>
    </row>
    <row r="542" spans="1:7">
      <c r="A542" s="57" t="s">
        <v>2284</v>
      </c>
      <c r="B542" s="57" t="s">
        <v>2285</v>
      </c>
      <c r="C542" s="57" t="s">
        <v>108</v>
      </c>
      <c r="D542" s="57" t="s">
        <v>2634</v>
      </c>
      <c r="E542" s="58" t="s">
        <v>108</v>
      </c>
      <c r="F542" s="58" t="s">
        <v>2630</v>
      </c>
      <c r="G542" s="57" t="s">
        <v>2286</v>
      </c>
    </row>
    <row r="543" spans="1:7">
      <c r="A543" s="57" t="s">
        <v>2287</v>
      </c>
      <c r="B543" s="57" t="s">
        <v>2248</v>
      </c>
      <c r="C543" s="57" t="s">
        <v>2288</v>
      </c>
      <c r="D543" s="57" t="s">
        <v>2634</v>
      </c>
      <c r="E543" s="58" t="s">
        <v>2255</v>
      </c>
      <c r="F543" s="58" t="s">
        <v>2630</v>
      </c>
      <c r="G543" s="57" t="s">
        <v>2237</v>
      </c>
    </row>
    <row r="544" spans="1:7">
      <c r="A544" s="57" t="s">
        <v>2289</v>
      </c>
      <c r="B544" s="57" t="s">
        <v>2248</v>
      </c>
      <c r="C544" s="57" t="s">
        <v>2254</v>
      </c>
      <c r="D544" s="57" t="s">
        <v>2634</v>
      </c>
      <c r="E544" s="58" t="s">
        <v>2255</v>
      </c>
      <c r="F544" s="58" t="s">
        <v>2630</v>
      </c>
      <c r="G544" s="57" t="s">
        <v>2237</v>
      </c>
    </row>
    <row r="545" spans="1:7">
      <c r="A545" s="57" t="s">
        <v>2290</v>
      </c>
      <c r="B545" s="57" t="s">
        <v>2248</v>
      </c>
      <c r="C545" s="57" t="s">
        <v>2254</v>
      </c>
      <c r="D545" s="57" t="s">
        <v>2634</v>
      </c>
      <c r="E545" s="58" t="s">
        <v>2255</v>
      </c>
      <c r="F545" s="58" t="s">
        <v>2630</v>
      </c>
      <c r="G545" s="57" t="s">
        <v>2237</v>
      </c>
    </row>
    <row r="546" spans="1:7">
      <c r="A546" s="57" t="s">
        <v>2291</v>
      </c>
      <c r="B546" s="57" t="s">
        <v>2292</v>
      </c>
      <c r="C546" s="57" t="s">
        <v>2254</v>
      </c>
      <c r="D546" s="57" t="s">
        <v>2634</v>
      </c>
      <c r="E546" s="58" t="s">
        <v>2255</v>
      </c>
      <c r="F546" s="58" t="s">
        <v>2630</v>
      </c>
      <c r="G546" s="57" t="s">
        <v>2237</v>
      </c>
    </row>
    <row r="547" spans="1:7">
      <c r="A547" s="57" t="s">
        <v>2293</v>
      </c>
      <c r="B547" s="57"/>
      <c r="C547" s="57" t="s">
        <v>2254</v>
      </c>
      <c r="D547" s="57" t="s">
        <v>2634</v>
      </c>
      <c r="E547" s="58" t="s">
        <v>2255</v>
      </c>
      <c r="F547" s="58" t="s">
        <v>2630</v>
      </c>
      <c r="G547" s="57" t="s">
        <v>2237</v>
      </c>
    </row>
    <row r="548" spans="1:7">
      <c r="A548" s="57" t="s">
        <v>2294</v>
      </c>
      <c r="B548" s="57"/>
      <c r="C548" s="57" t="s">
        <v>2254</v>
      </c>
      <c r="D548" s="57" t="s">
        <v>2634</v>
      </c>
      <c r="E548" s="58" t="s">
        <v>2255</v>
      </c>
      <c r="F548" s="58" t="s">
        <v>2630</v>
      </c>
      <c r="G548" s="57" t="s">
        <v>2237</v>
      </c>
    </row>
    <row r="549" spans="1:7">
      <c r="A549" s="57" t="s">
        <v>2295</v>
      </c>
      <c r="B549" s="57"/>
      <c r="C549" s="57" t="s">
        <v>2254</v>
      </c>
      <c r="D549" s="57" t="s">
        <v>2634</v>
      </c>
      <c r="E549" s="58" t="s">
        <v>2255</v>
      </c>
      <c r="F549" s="58" t="s">
        <v>2630</v>
      </c>
      <c r="G549" s="57" t="s">
        <v>2237</v>
      </c>
    </row>
    <row r="550" spans="1:7" ht="17.100000000000001">
      <c r="A550" s="75" t="s">
        <v>2595</v>
      </c>
      <c r="B550" s="75"/>
      <c r="C550" s="75"/>
      <c r="D550" s="75"/>
      <c r="E550" s="76"/>
      <c r="F550" s="75"/>
      <c r="G550" s="75"/>
    </row>
    <row r="551" spans="1:7">
      <c r="A551" s="57" t="s">
        <v>2297</v>
      </c>
      <c r="B551" s="57" t="s">
        <v>2298</v>
      </c>
      <c r="C551" s="57" t="s">
        <v>108</v>
      </c>
      <c r="D551" s="57" t="s">
        <v>2634</v>
      </c>
      <c r="E551" s="58" t="s">
        <v>108</v>
      </c>
      <c r="F551" s="58" t="s">
        <v>2630</v>
      </c>
      <c r="G551" s="57" t="s">
        <v>2237</v>
      </c>
    </row>
    <row r="552" spans="1:7">
      <c r="A552" s="57" t="s">
        <v>2299</v>
      </c>
      <c r="B552" s="57" t="s">
        <v>2298</v>
      </c>
      <c r="C552" s="57" t="s">
        <v>2300</v>
      </c>
      <c r="D552" s="57" t="s">
        <v>2634</v>
      </c>
      <c r="E552" s="58" t="s">
        <v>108</v>
      </c>
      <c r="F552" s="58" t="s">
        <v>2630</v>
      </c>
      <c r="G552" s="57" t="s">
        <v>2301</v>
      </c>
    </row>
    <row r="553" spans="1:7">
      <c r="A553" s="57" t="s">
        <v>2302</v>
      </c>
      <c r="B553" s="57"/>
      <c r="C553" s="57" t="s">
        <v>2303</v>
      </c>
      <c r="D553" s="57" t="s">
        <v>2634</v>
      </c>
      <c r="E553" s="58" t="s">
        <v>108</v>
      </c>
      <c r="F553" s="58" t="s">
        <v>2630</v>
      </c>
      <c r="G553" s="57" t="s">
        <v>2237</v>
      </c>
    </row>
    <row r="554" spans="1:7">
      <c r="A554" s="57" t="s">
        <v>2304</v>
      </c>
      <c r="B554" s="57"/>
      <c r="C554" s="57" t="s">
        <v>2254</v>
      </c>
      <c r="D554" s="57" t="s">
        <v>2634</v>
      </c>
      <c r="E554" s="58" t="s">
        <v>2255</v>
      </c>
      <c r="F554" s="58" t="s">
        <v>2630</v>
      </c>
      <c r="G554" s="57" t="s">
        <v>2237</v>
      </c>
    </row>
    <row r="555" spans="1:7">
      <c r="A555" s="57" t="s">
        <v>2305</v>
      </c>
      <c r="B555" s="57"/>
      <c r="C555" s="57" t="s">
        <v>2254</v>
      </c>
      <c r="D555" s="57" t="s">
        <v>2634</v>
      </c>
      <c r="E555" s="58" t="s">
        <v>2255</v>
      </c>
      <c r="F555" s="58" t="s">
        <v>2630</v>
      </c>
      <c r="G555" s="57" t="s">
        <v>2237</v>
      </c>
    </row>
    <row r="556" spans="1:7">
      <c r="A556" s="57" t="s">
        <v>2306</v>
      </c>
      <c r="B556" s="57" t="s">
        <v>2298</v>
      </c>
      <c r="C556" s="57" t="s">
        <v>2307</v>
      </c>
      <c r="D556" s="57" t="s">
        <v>2634</v>
      </c>
      <c r="E556" s="58" t="s">
        <v>2307</v>
      </c>
      <c r="F556" s="58" t="s">
        <v>2630</v>
      </c>
      <c r="G556" s="57" t="s">
        <v>2237</v>
      </c>
    </row>
    <row r="557" spans="1:7">
      <c r="A557" s="57" t="s">
        <v>2308</v>
      </c>
      <c r="B557" s="57" t="s">
        <v>2309</v>
      </c>
      <c r="C557" s="57" t="s">
        <v>108</v>
      </c>
      <c r="D557" s="57" t="s">
        <v>2634</v>
      </c>
      <c r="E557" s="58" t="s">
        <v>108</v>
      </c>
      <c r="F557" s="58" t="s">
        <v>2630</v>
      </c>
      <c r="G557" s="57" t="s">
        <v>2237</v>
      </c>
    </row>
    <row r="558" spans="1:7" ht="17.100000000000001">
      <c r="A558" s="75" t="s">
        <v>2596</v>
      </c>
      <c r="B558" s="75"/>
      <c r="C558" s="75"/>
      <c r="D558" s="75"/>
      <c r="E558" s="76"/>
      <c r="F558" s="75"/>
      <c r="G558" s="75"/>
    </row>
    <row r="559" spans="1:7">
      <c r="A559" s="57" t="s">
        <v>2311</v>
      </c>
      <c r="B559" s="57"/>
      <c r="C559" s="57" t="s">
        <v>2307</v>
      </c>
      <c r="D559" s="57" t="s">
        <v>2634</v>
      </c>
      <c r="E559" s="58" t="s">
        <v>2307</v>
      </c>
      <c r="F559" s="58" t="s">
        <v>2630</v>
      </c>
      <c r="G559" s="57" t="s">
        <v>2237</v>
      </c>
    </row>
    <row r="560" spans="1:7">
      <c r="A560" s="57" t="s">
        <v>2312</v>
      </c>
      <c r="B560" s="57"/>
      <c r="C560" s="57" t="s">
        <v>2313</v>
      </c>
      <c r="D560" s="57" t="s">
        <v>2634</v>
      </c>
      <c r="E560" s="58" t="s">
        <v>2307</v>
      </c>
      <c r="F560" s="58" t="s">
        <v>2630</v>
      </c>
      <c r="G560" s="57" t="s">
        <v>2237</v>
      </c>
    </row>
    <row r="561" spans="1:7">
      <c r="A561" s="57" t="s">
        <v>2314</v>
      </c>
      <c r="B561" s="57" t="s">
        <v>2298</v>
      </c>
      <c r="C561" s="57" t="s">
        <v>108</v>
      </c>
      <c r="D561" s="57" t="s">
        <v>2634</v>
      </c>
      <c r="E561" s="58" t="s">
        <v>108</v>
      </c>
      <c r="F561" s="58" t="s">
        <v>2630</v>
      </c>
      <c r="G561" s="57" t="s">
        <v>2237</v>
      </c>
    </row>
    <row r="562" spans="1:7">
      <c r="A562" s="57" t="s">
        <v>2315</v>
      </c>
      <c r="B562" s="57" t="s">
        <v>2298</v>
      </c>
      <c r="C562" s="57" t="s">
        <v>108</v>
      </c>
      <c r="D562" s="57" t="s">
        <v>2634</v>
      </c>
      <c r="E562" s="58" t="s">
        <v>108</v>
      </c>
      <c r="F562" s="58" t="s">
        <v>2630</v>
      </c>
      <c r="G562" s="57" t="s">
        <v>2237</v>
      </c>
    </row>
    <row r="563" spans="1:7">
      <c r="A563" s="57" t="s">
        <v>2316</v>
      </c>
      <c r="B563" s="57" t="s">
        <v>2292</v>
      </c>
      <c r="C563" s="57" t="s">
        <v>108</v>
      </c>
      <c r="D563" s="57" t="s">
        <v>2634</v>
      </c>
      <c r="E563" s="58" t="s">
        <v>108</v>
      </c>
      <c r="F563" s="58" t="s">
        <v>2630</v>
      </c>
      <c r="G563" s="57" t="s">
        <v>2237</v>
      </c>
    </row>
    <row r="564" spans="1:7">
      <c r="A564" s="57" t="s">
        <v>2317</v>
      </c>
      <c r="B564" s="57" t="s">
        <v>2318</v>
      </c>
      <c r="C564" s="57" t="s">
        <v>2307</v>
      </c>
      <c r="D564" s="57" t="s">
        <v>2634</v>
      </c>
      <c r="E564" s="58" t="s">
        <v>2307</v>
      </c>
      <c r="F564" s="58" t="s">
        <v>2630</v>
      </c>
      <c r="G564" s="57" t="s">
        <v>2237</v>
      </c>
    </row>
    <row r="565" spans="1:7">
      <c r="A565" s="57" t="s">
        <v>2319</v>
      </c>
      <c r="B565" s="57" t="s">
        <v>2318</v>
      </c>
      <c r="C565" s="57" t="s">
        <v>2307</v>
      </c>
      <c r="D565" s="57" t="s">
        <v>2634</v>
      </c>
      <c r="E565" s="58" t="s">
        <v>2307</v>
      </c>
      <c r="F565" s="58" t="s">
        <v>2630</v>
      </c>
      <c r="G565" s="57" t="s">
        <v>2237</v>
      </c>
    </row>
    <row r="566" spans="1:7">
      <c r="A566" s="57" t="s">
        <v>2320</v>
      </c>
      <c r="B566" s="57"/>
      <c r="C566" s="57" t="s">
        <v>2254</v>
      </c>
      <c r="D566" s="57" t="s">
        <v>2634</v>
      </c>
      <c r="E566" s="58" t="s">
        <v>2255</v>
      </c>
      <c r="F566" s="58" t="s">
        <v>2630</v>
      </c>
      <c r="G566" s="57" t="s">
        <v>2237</v>
      </c>
    </row>
    <row r="567" spans="1:7">
      <c r="A567" s="57" t="s">
        <v>2321</v>
      </c>
      <c r="B567" s="57" t="s">
        <v>2318</v>
      </c>
      <c r="C567" s="57" t="s">
        <v>108</v>
      </c>
      <c r="D567" s="57" t="s">
        <v>2634</v>
      </c>
      <c r="E567" s="58" t="s">
        <v>108</v>
      </c>
      <c r="F567" s="58" t="s">
        <v>2630</v>
      </c>
      <c r="G567" s="57" t="s">
        <v>2322</v>
      </c>
    </row>
    <row r="568" spans="1:7" ht="17.100000000000001">
      <c r="A568" s="75" t="s">
        <v>2597</v>
      </c>
      <c r="B568" s="75"/>
      <c r="C568" s="75"/>
      <c r="D568" s="75"/>
      <c r="E568" s="76"/>
      <c r="F568" s="75"/>
      <c r="G568" s="75"/>
    </row>
    <row r="569" spans="1:7">
      <c r="A569" s="57" t="s">
        <v>2324</v>
      </c>
      <c r="B569" s="57" t="s">
        <v>2325</v>
      </c>
      <c r="C569" s="57" t="s">
        <v>108</v>
      </c>
      <c r="D569" s="57" t="s">
        <v>2634</v>
      </c>
      <c r="E569" s="58" t="s">
        <v>108</v>
      </c>
      <c r="F569" s="58" t="s">
        <v>2630</v>
      </c>
      <c r="G569" s="57" t="s">
        <v>2237</v>
      </c>
    </row>
    <row r="570" spans="1:7">
      <c r="A570" s="57" t="s">
        <v>2326</v>
      </c>
      <c r="B570" s="57" t="s">
        <v>2327</v>
      </c>
      <c r="C570" s="57" t="s">
        <v>108</v>
      </c>
      <c r="D570" s="57" t="s">
        <v>2634</v>
      </c>
      <c r="E570" s="58" t="s">
        <v>108</v>
      </c>
      <c r="F570" s="58" t="s">
        <v>2630</v>
      </c>
      <c r="G570" s="57" t="s">
        <v>2237</v>
      </c>
    </row>
    <row r="571" spans="1:7">
      <c r="A571" s="57" t="s">
        <v>2328</v>
      </c>
      <c r="B571" s="57" t="s">
        <v>2327</v>
      </c>
      <c r="C571" s="57" t="s">
        <v>108</v>
      </c>
      <c r="D571" s="57" t="s">
        <v>2634</v>
      </c>
      <c r="E571" s="58" t="s">
        <v>108</v>
      </c>
      <c r="F571" s="58" t="s">
        <v>2630</v>
      </c>
      <c r="G571" s="57" t="s">
        <v>2237</v>
      </c>
    </row>
    <row r="572" spans="1:7" ht="17.100000000000001">
      <c r="A572" s="75" t="s">
        <v>2598</v>
      </c>
      <c r="B572" s="75"/>
      <c r="C572" s="75"/>
      <c r="D572" s="75"/>
      <c r="E572" s="76"/>
      <c r="F572" s="75"/>
      <c r="G572" s="75"/>
    </row>
    <row r="573" spans="1:7">
      <c r="A573" s="57" t="s">
        <v>2330</v>
      </c>
      <c r="B573" s="57" t="s">
        <v>2331</v>
      </c>
      <c r="C573" s="57" t="s">
        <v>2307</v>
      </c>
      <c r="D573" s="57" t="s">
        <v>2634</v>
      </c>
      <c r="E573" s="58" t="s">
        <v>2307</v>
      </c>
      <c r="F573" s="58" t="s">
        <v>2630</v>
      </c>
      <c r="G573" s="57" t="s">
        <v>2332</v>
      </c>
    </row>
    <row r="574" spans="1:7">
      <c r="A574" s="57" t="s">
        <v>2333</v>
      </c>
      <c r="B574" s="57" t="s">
        <v>2334</v>
      </c>
      <c r="C574" s="57" t="s">
        <v>108</v>
      </c>
      <c r="D574" s="57" t="s">
        <v>2634</v>
      </c>
      <c r="E574" s="58" t="s">
        <v>108</v>
      </c>
      <c r="F574" s="58" t="s">
        <v>2630</v>
      </c>
      <c r="G574" s="57" t="s">
        <v>2335</v>
      </c>
    </row>
    <row r="575" spans="1:7">
      <c r="A575" s="57" t="s">
        <v>2336</v>
      </c>
      <c r="B575" s="57" t="s">
        <v>2337</v>
      </c>
      <c r="C575" s="57" t="s">
        <v>108</v>
      </c>
      <c r="D575" s="57" t="s">
        <v>2634</v>
      </c>
      <c r="E575" s="58" t="s">
        <v>108</v>
      </c>
      <c r="F575" s="58" t="s">
        <v>2630</v>
      </c>
      <c r="G575" s="57" t="s">
        <v>2338</v>
      </c>
    </row>
    <row r="576" spans="1:7">
      <c r="A576" s="57" t="s">
        <v>2339</v>
      </c>
      <c r="B576" s="57" t="s">
        <v>2340</v>
      </c>
      <c r="C576" s="57" t="s">
        <v>108</v>
      </c>
      <c r="D576" s="57" t="s">
        <v>2634</v>
      </c>
      <c r="E576" s="58" t="s">
        <v>108</v>
      </c>
      <c r="F576" s="58" t="s">
        <v>2630</v>
      </c>
      <c r="G576" s="57" t="s">
        <v>2341</v>
      </c>
    </row>
    <row r="577" spans="1:7">
      <c r="A577" s="57" t="s">
        <v>2342</v>
      </c>
      <c r="B577" s="57"/>
      <c r="C577" s="57" t="s">
        <v>2254</v>
      </c>
      <c r="D577" s="57" t="s">
        <v>2634</v>
      </c>
      <c r="E577" s="58" t="s">
        <v>2255</v>
      </c>
      <c r="F577" s="58" t="s">
        <v>2630</v>
      </c>
      <c r="G577" s="57" t="s">
        <v>2237</v>
      </c>
    </row>
    <row r="578" spans="1:7" ht="17.100000000000001">
      <c r="A578" s="75" t="s">
        <v>2599</v>
      </c>
      <c r="B578" s="75"/>
      <c r="C578" s="75"/>
      <c r="D578" s="75"/>
      <c r="E578" s="76"/>
      <c r="F578" s="75"/>
      <c r="G578" s="75"/>
    </row>
    <row r="579" spans="1:7">
      <c r="A579" s="57" t="s">
        <v>2344</v>
      </c>
      <c r="B579" s="57" t="s">
        <v>2334</v>
      </c>
      <c r="C579" s="57" t="s">
        <v>108</v>
      </c>
      <c r="D579" s="57" t="s">
        <v>2634</v>
      </c>
      <c r="E579" s="58" t="s">
        <v>108</v>
      </c>
      <c r="F579" s="58" t="s">
        <v>2630</v>
      </c>
      <c r="G579" s="57" t="s">
        <v>2345</v>
      </c>
    </row>
    <row r="580" spans="1:7">
      <c r="A580" s="57" t="s">
        <v>2346</v>
      </c>
      <c r="B580" s="57" t="s">
        <v>2347</v>
      </c>
      <c r="C580" s="57" t="s">
        <v>108</v>
      </c>
      <c r="D580" s="57" t="s">
        <v>2634</v>
      </c>
      <c r="E580" s="58" t="s">
        <v>108</v>
      </c>
      <c r="F580" s="58" t="s">
        <v>2630</v>
      </c>
      <c r="G580" s="57" t="s">
        <v>2348</v>
      </c>
    </row>
    <row r="581" spans="1:7">
      <c r="A581" s="57" t="s">
        <v>2349</v>
      </c>
      <c r="B581" s="57" t="s">
        <v>2350</v>
      </c>
      <c r="C581" s="57" t="s">
        <v>108</v>
      </c>
      <c r="D581" s="57" t="s">
        <v>2634</v>
      </c>
      <c r="E581" s="58" t="s">
        <v>108</v>
      </c>
      <c r="F581" s="58" t="s">
        <v>2630</v>
      </c>
      <c r="G581" s="57" t="s">
        <v>2351</v>
      </c>
    </row>
    <row r="582" spans="1:7">
      <c r="A582" s="57" t="s">
        <v>2352</v>
      </c>
      <c r="B582" s="57" t="s">
        <v>2353</v>
      </c>
      <c r="C582" s="57" t="s">
        <v>2307</v>
      </c>
      <c r="D582" s="57" t="s">
        <v>2634</v>
      </c>
      <c r="E582" s="58" t="s">
        <v>2307</v>
      </c>
      <c r="F582" s="58" t="s">
        <v>2630</v>
      </c>
      <c r="G582" s="57" t="s">
        <v>2237</v>
      </c>
    </row>
    <row r="583" spans="1:7">
      <c r="A583" s="57" t="s">
        <v>2354</v>
      </c>
      <c r="B583" s="57" t="s">
        <v>2353</v>
      </c>
      <c r="C583" s="57" t="s">
        <v>2355</v>
      </c>
      <c r="D583" s="57" t="s">
        <v>2634</v>
      </c>
      <c r="E583" s="58" t="s">
        <v>108</v>
      </c>
      <c r="F583" s="58" t="s">
        <v>2630</v>
      </c>
      <c r="G583" s="57" t="s">
        <v>2237</v>
      </c>
    </row>
    <row r="584" spans="1:7" ht="17.100000000000001">
      <c r="A584" s="75" t="s">
        <v>2600</v>
      </c>
      <c r="B584" s="75"/>
      <c r="C584" s="75"/>
      <c r="D584" s="75"/>
      <c r="E584" s="76"/>
      <c r="F584" s="75"/>
      <c r="G584" s="75"/>
    </row>
    <row r="585" spans="1:7">
      <c r="A585" s="57" t="s">
        <v>2357</v>
      </c>
      <c r="B585" s="57" t="s">
        <v>2358</v>
      </c>
      <c r="C585" s="57" t="s">
        <v>108</v>
      </c>
      <c r="D585" s="57" t="s">
        <v>2634</v>
      </c>
      <c r="E585" s="58" t="s">
        <v>108</v>
      </c>
      <c r="F585" s="58" t="s">
        <v>2630</v>
      </c>
      <c r="G585" s="57" t="s">
        <v>2237</v>
      </c>
    </row>
    <row r="586" spans="1:7">
      <c r="A586" s="57" t="s">
        <v>2359</v>
      </c>
      <c r="B586" s="57" t="s">
        <v>2358</v>
      </c>
      <c r="C586" s="57" t="s">
        <v>2307</v>
      </c>
      <c r="D586" s="57" t="s">
        <v>2634</v>
      </c>
      <c r="E586" s="58" t="s">
        <v>2307</v>
      </c>
      <c r="F586" s="58" t="s">
        <v>2630</v>
      </c>
      <c r="G586" s="57" t="s">
        <v>2360</v>
      </c>
    </row>
    <row r="587" spans="1:7">
      <c r="A587" s="57" t="s">
        <v>2361</v>
      </c>
      <c r="B587" s="57" t="s">
        <v>2362</v>
      </c>
      <c r="C587" s="57" t="s">
        <v>2363</v>
      </c>
      <c r="D587" s="57" t="s">
        <v>2634</v>
      </c>
      <c r="E587" s="58" t="s">
        <v>2640</v>
      </c>
      <c r="F587" s="58" t="s">
        <v>2630</v>
      </c>
      <c r="G587" s="57" t="s">
        <v>2365</v>
      </c>
    </row>
    <row r="588" spans="1:7">
      <c r="A588" s="57" t="s">
        <v>2366</v>
      </c>
      <c r="B588" s="57" t="s">
        <v>2362</v>
      </c>
      <c r="C588" s="57" t="s">
        <v>2265</v>
      </c>
      <c r="D588" s="57" t="s">
        <v>2634</v>
      </c>
      <c r="E588" s="58" t="s">
        <v>108</v>
      </c>
      <c r="F588" s="58" t="s">
        <v>2630</v>
      </c>
      <c r="G588" s="57" t="s">
        <v>2367</v>
      </c>
    </row>
    <row r="589" spans="1:7">
      <c r="A589" s="57" t="s">
        <v>2368</v>
      </c>
      <c r="B589" s="57" t="s">
        <v>2358</v>
      </c>
      <c r="C589" s="57" t="s">
        <v>2369</v>
      </c>
      <c r="D589" s="57" t="s">
        <v>2634</v>
      </c>
      <c r="E589" s="58" t="s">
        <v>108</v>
      </c>
      <c r="F589" s="58" t="s">
        <v>2630</v>
      </c>
      <c r="G589" s="57" t="s">
        <v>2237</v>
      </c>
    </row>
    <row r="590" spans="1:7">
      <c r="A590" s="57" t="s">
        <v>2370</v>
      </c>
      <c r="B590" s="57" t="s">
        <v>2358</v>
      </c>
      <c r="C590" s="57" t="s">
        <v>2371</v>
      </c>
      <c r="D590" s="57" t="s">
        <v>2634</v>
      </c>
      <c r="E590" s="58" t="s">
        <v>108</v>
      </c>
      <c r="F590" s="58" t="s">
        <v>2630</v>
      </c>
      <c r="G590" s="57" t="s">
        <v>2372</v>
      </c>
    </row>
    <row r="591" spans="1:7" ht="17.100000000000001">
      <c r="A591" s="75" t="s">
        <v>2601</v>
      </c>
      <c r="B591" s="75"/>
      <c r="C591" s="75"/>
      <c r="D591" s="75"/>
      <c r="E591" s="76"/>
      <c r="F591" s="75"/>
      <c r="G591" s="75"/>
    </row>
    <row r="592" spans="1:7">
      <c r="A592" s="57" t="s">
        <v>2374</v>
      </c>
      <c r="B592" s="57" t="s">
        <v>2375</v>
      </c>
      <c r="C592" s="57" t="s">
        <v>2376</v>
      </c>
      <c r="D592" s="57" t="s">
        <v>2634</v>
      </c>
      <c r="E592" s="58" t="s">
        <v>108</v>
      </c>
      <c r="F592" s="58" t="s">
        <v>2630</v>
      </c>
      <c r="G592" s="57" t="s">
        <v>2377</v>
      </c>
    </row>
    <row r="593" spans="1:7">
      <c r="A593" s="57" t="s">
        <v>2378</v>
      </c>
      <c r="B593" s="57" t="s">
        <v>2379</v>
      </c>
      <c r="C593" s="57" t="s">
        <v>2380</v>
      </c>
      <c r="D593" s="57" t="s">
        <v>2634</v>
      </c>
      <c r="E593" s="58" t="s">
        <v>108</v>
      </c>
      <c r="F593" s="58" t="s">
        <v>2630</v>
      </c>
      <c r="G593" s="57" t="s">
        <v>2381</v>
      </c>
    </row>
    <row r="594" spans="1:7">
      <c r="A594" s="57" t="s">
        <v>2382</v>
      </c>
      <c r="B594" s="57"/>
      <c r="C594" s="57" t="s">
        <v>2254</v>
      </c>
      <c r="D594" s="57" t="s">
        <v>2634</v>
      </c>
      <c r="E594" s="58" t="s">
        <v>2255</v>
      </c>
      <c r="F594" s="58" t="s">
        <v>2630</v>
      </c>
      <c r="G594" s="57" t="s">
        <v>2237</v>
      </c>
    </row>
    <row r="595" spans="1:7">
      <c r="A595" s="57" t="s">
        <v>2383</v>
      </c>
      <c r="B595" s="57"/>
      <c r="C595" s="57" t="s">
        <v>108</v>
      </c>
      <c r="D595" s="57" t="s">
        <v>2634</v>
      </c>
      <c r="E595" s="58" t="s">
        <v>108</v>
      </c>
      <c r="F595" s="58" t="s">
        <v>2630</v>
      </c>
      <c r="G595" s="57" t="s">
        <v>2237</v>
      </c>
    </row>
    <row r="596" spans="1:7">
      <c r="A596" s="57" t="s">
        <v>2384</v>
      </c>
      <c r="B596" s="57" t="s">
        <v>2385</v>
      </c>
      <c r="C596" s="57" t="s">
        <v>2386</v>
      </c>
      <c r="D596" s="57" t="s">
        <v>2634</v>
      </c>
      <c r="E596" s="58" t="s">
        <v>2386</v>
      </c>
      <c r="F596" s="58" t="s">
        <v>2630</v>
      </c>
      <c r="G596" s="57" t="s">
        <v>2387</v>
      </c>
    </row>
    <row r="597" spans="1:7" ht="17.100000000000001">
      <c r="A597" s="75" t="s">
        <v>2602</v>
      </c>
      <c r="B597" s="75"/>
      <c r="C597" s="75"/>
      <c r="D597" s="75"/>
      <c r="E597" s="76"/>
      <c r="F597" s="75"/>
      <c r="G597" s="75"/>
    </row>
    <row r="598" spans="1:7">
      <c r="A598" s="57" t="s">
        <v>2389</v>
      </c>
      <c r="B598" s="57" t="s">
        <v>2241</v>
      </c>
      <c r="C598" s="57" t="s">
        <v>2390</v>
      </c>
      <c r="D598" s="57" t="s">
        <v>2663</v>
      </c>
      <c r="E598" s="58" t="s">
        <v>2392</v>
      </c>
      <c r="F598" s="58" t="s">
        <v>2630</v>
      </c>
      <c r="G598" s="57" t="s">
        <v>2393</v>
      </c>
    </row>
    <row r="599" spans="1:7">
      <c r="A599" s="57" t="s">
        <v>2235</v>
      </c>
      <c r="B599" s="57" t="s">
        <v>2236</v>
      </c>
      <c r="C599" s="57" t="s">
        <v>1212</v>
      </c>
      <c r="D599" s="57" t="s">
        <v>2663</v>
      </c>
      <c r="E599" s="58" t="s">
        <v>1212</v>
      </c>
      <c r="F599" s="58" t="s">
        <v>2630</v>
      </c>
      <c r="G599" s="57" t="s">
        <v>2237</v>
      </c>
    </row>
    <row r="600" spans="1:7">
      <c r="A600" s="57" t="s">
        <v>2238</v>
      </c>
      <c r="B600" s="57"/>
      <c r="C600" s="57" t="s">
        <v>2239</v>
      </c>
      <c r="D600" s="57" t="s">
        <v>2663</v>
      </c>
      <c r="E600" s="58" t="s">
        <v>1212</v>
      </c>
      <c r="F600" s="58" t="s">
        <v>2630</v>
      </c>
      <c r="G600" s="57" t="s">
        <v>2237</v>
      </c>
    </row>
    <row r="601" spans="1:7" ht="17.100000000000001">
      <c r="A601" s="75" t="s">
        <v>2603</v>
      </c>
      <c r="B601" s="75"/>
      <c r="C601" s="75"/>
      <c r="D601" s="75"/>
      <c r="E601" s="76"/>
      <c r="F601" s="75"/>
      <c r="G601" s="75"/>
    </row>
    <row r="602" spans="1:7">
      <c r="A602" s="57" t="s">
        <v>2253</v>
      </c>
      <c r="B602" s="57" t="s">
        <v>2236</v>
      </c>
      <c r="C602" s="57" t="s">
        <v>2254</v>
      </c>
      <c r="D602" s="57" t="s">
        <v>2663</v>
      </c>
      <c r="E602" s="58" t="s">
        <v>2395</v>
      </c>
      <c r="F602" s="58" t="s">
        <v>2630</v>
      </c>
      <c r="G602" s="57" t="s">
        <v>2237</v>
      </c>
    </row>
    <row r="603" spans="1:7" ht="17.100000000000001">
      <c r="A603" s="75" t="s">
        <v>2604</v>
      </c>
      <c r="B603" s="75"/>
      <c r="C603" s="75"/>
      <c r="D603" s="75"/>
      <c r="E603" s="76"/>
      <c r="F603" s="75"/>
      <c r="G603" s="75"/>
    </row>
    <row r="604" spans="1:7">
      <c r="A604" s="57" t="s">
        <v>2262</v>
      </c>
      <c r="B604" s="57" t="s">
        <v>2261</v>
      </c>
      <c r="C604" s="57" t="s">
        <v>2263</v>
      </c>
      <c r="D604" s="57" t="s">
        <v>2663</v>
      </c>
      <c r="E604" s="58" t="s">
        <v>2642</v>
      </c>
      <c r="F604" s="58" t="s">
        <v>2630</v>
      </c>
      <c r="G604" s="57" t="s">
        <v>2237</v>
      </c>
    </row>
    <row r="605" spans="1:7" ht="17.100000000000001">
      <c r="A605" s="75" t="s">
        <v>2605</v>
      </c>
      <c r="B605" s="75"/>
      <c r="C605" s="75"/>
      <c r="D605" s="75"/>
      <c r="E605" s="76"/>
      <c r="F605" s="75"/>
      <c r="G605" s="75"/>
    </row>
    <row r="606" spans="1:7">
      <c r="A606" s="57" t="s">
        <v>2474</v>
      </c>
      <c r="B606" s="57" t="s">
        <v>2375</v>
      </c>
      <c r="C606" s="57" t="s">
        <v>2475</v>
      </c>
      <c r="D606" s="57" t="s">
        <v>2663</v>
      </c>
      <c r="E606" s="58" t="s">
        <v>2472</v>
      </c>
      <c r="F606" s="58" t="s">
        <v>2630</v>
      </c>
      <c r="G606" s="57" t="s">
        <v>2237</v>
      </c>
    </row>
    <row r="607" spans="1:7">
      <c r="A607" s="57" t="s">
        <v>2276</v>
      </c>
      <c r="B607" s="57" t="s">
        <v>2273</v>
      </c>
      <c r="C607" s="57" t="s">
        <v>2277</v>
      </c>
      <c r="D607" s="57" t="s">
        <v>2663</v>
      </c>
      <c r="E607" s="58" t="s">
        <v>2472</v>
      </c>
      <c r="F607" s="58" t="s">
        <v>2630</v>
      </c>
      <c r="G607" s="57" t="s">
        <v>2278</v>
      </c>
    </row>
    <row r="608" spans="1:7" ht="17.100000000000001">
      <c r="A608" s="75" t="s">
        <v>2606</v>
      </c>
      <c r="B608" s="75"/>
      <c r="C608" s="75"/>
      <c r="D608" s="75"/>
      <c r="E608" s="76"/>
      <c r="F608" s="75"/>
      <c r="G608" s="75"/>
    </row>
    <row r="609" spans="1:7">
      <c r="A609" s="57" t="s">
        <v>2287</v>
      </c>
      <c r="B609" s="57" t="s">
        <v>2248</v>
      </c>
      <c r="C609" s="57" t="s">
        <v>2288</v>
      </c>
      <c r="D609" s="57" t="s">
        <v>2663</v>
      </c>
      <c r="E609" s="58" t="s">
        <v>2395</v>
      </c>
      <c r="F609" s="58" t="s">
        <v>2630</v>
      </c>
      <c r="G609" s="57" t="s">
        <v>2237</v>
      </c>
    </row>
    <row r="610" spans="1:7">
      <c r="A610" s="57" t="s">
        <v>2289</v>
      </c>
      <c r="B610" s="57" t="s">
        <v>2248</v>
      </c>
      <c r="C610" s="57" t="s">
        <v>2254</v>
      </c>
      <c r="D610" s="57" t="s">
        <v>2663</v>
      </c>
      <c r="E610" s="58" t="s">
        <v>2395</v>
      </c>
      <c r="F610" s="58" t="s">
        <v>2630</v>
      </c>
      <c r="G610" s="57" t="s">
        <v>2237</v>
      </c>
    </row>
    <row r="611" spans="1:7">
      <c r="A611" s="57" t="s">
        <v>2290</v>
      </c>
      <c r="B611" s="57" t="s">
        <v>2248</v>
      </c>
      <c r="C611" s="57" t="s">
        <v>2254</v>
      </c>
      <c r="D611" s="57" t="s">
        <v>2663</v>
      </c>
      <c r="E611" s="58" t="s">
        <v>2395</v>
      </c>
      <c r="F611" s="58" t="s">
        <v>2630</v>
      </c>
      <c r="G611" s="57" t="s">
        <v>2237</v>
      </c>
    </row>
    <row r="612" spans="1:7">
      <c r="A612" s="57" t="s">
        <v>2291</v>
      </c>
      <c r="B612" s="57" t="s">
        <v>2292</v>
      </c>
      <c r="C612" s="57" t="s">
        <v>2254</v>
      </c>
      <c r="D612" s="57" t="s">
        <v>2663</v>
      </c>
      <c r="E612" s="58" t="s">
        <v>2395</v>
      </c>
      <c r="F612" s="58" t="s">
        <v>2630</v>
      </c>
      <c r="G612" s="57" t="s">
        <v>2237</v>
      </c>
    </row>
    <row r="613" spans="1:7">
      <c r="A613" s="57" t="s">
        <v>2293</v>
      </c>
      <c r="B613" s="57"/>
      <c r="C613" s="57" t="s">
        <v>2254</v>
      </c>
      <c r="D613" s="57" t="s">
        <v>2663</v>
      </c>
      <c r="E613" s="58" t="s">
        <v>2395</v>
      </c>
      <c r="F613" s="58" t="s">
        <v>2630</v>
      </c>
      <c r="G613" s="57" t="s">
        <v>2237</v>
      </c>
    </row>
    <row r="614" spans="1:7">
      <c r="A614" s="57" t="s">
        <v>2294</v>
      </c>
      <c r="B614" s="57"/>
      <c r="C614" s="57" t="s">
        <v>2254</v>
      </c>
      <c r="D614" s="57" t="s">
        <v>2663</v>
      </c>
      <c r="E614" s="58" t="s">
        <v>2395</v>
      </c>
      <c r="F614" s="58" t="s">
        <v>2630</v>
      </c>
      <c r="G614" s="57" t="s">
        <v>2237</v>
      </c>
    </row>
    <row r="615" spans="1:7">
      <c r="A615" s="57" t="s">
        <v>2295</v>
      </c>
      <c r="B615" s="57"/>
      <c r="C615" s="57" t="s">
        <v>2254</v>
      </c>
      <c r="D615" s="57" t="s">
        <v>2663</v>
      </c>
      <c r="E615" s="58" t="s">
        <v>2395</v>
      </c>
      <c r="F615" s="58" t="s">
        <v>2630</v>
      </c>
      <c r="G615" s="57" t="s">
        <v>2237</v>
      </c>
    </row>
    <row r="616" spans="1:7" ht="17.100000000000001">
      <c r="A616" s="75" t="s">
        <v>2607</v>
      </c>
      <c r="B616" s="75"/>
      <c r="C616" s="75"/>
      <c r="D616" s="75"/>
      <c r="E616" s="76"/>
      <c r="F616" s="75"/>
      <c r="G616" s="75"/>
    </row>
    <row r="617" spans="1:7">
      <c r="A617" s="57" t="s">
        <v>2304</v>
      </c>
      <c r="B617" s="57"/>
      <c r="C617" s="57" t="s">
        <v>2254</v>
      </c>
      <c r="D617" s="57" t="s">
        <v>2663</v>
      </c>
      <c r="E617" s="58" t="s">
        <v>2395</v>
      </c>
      <c r="F617" s="58" t="s">
        <v>2630</v>
      </c>
      <c r="G617" s="57" t="s">
        <v>2237</v>
      </c>
    </row>
    <row r="618" spans="1:7">
      <c r="A618" s="57" t="s">
        <v>2305</v>
      </c>
      <c r="B618" s="57"/>
      <c r="C618" s="57" t="s">
        <v>2254</v>
      </c>
      <c r="D618" s="57" t="s">
        <v>2663</v>
      </c>
      <c r="E618" s="58" t="s">
        <v>2395</v>
      </c>
      <c r="F618" s="58" t="s">
        <v>2630</v>
      </c>
      <c r="G618" s="57" t="s">
        <v>2237</v>
      </c>
    </row>
    <row r="619" spans="1:7" ht="17.100000000000001">
      <c r="A619" s="75" t="s">
        <v>2608</v>
      </c>
      <c r="B619" s="75"/>
      <c r="C619" s="75"/>
      <c r="D619" s="75"/>
      <c r="E619" s="76"/>
      <c r="F619" s="75"/>
      <c r="G619" s="75"/>
    </row>
    <row r="620" spans="1:7">
      <c r="A620" s="57" t="s">
        <v>2320</v>
      </c>
      <c r="B620" s="57"/>
      <c r="C620" s="57" t="s">
        <v>2254</v>
      </c>
      <c r="D620" s="57" t="s">
        <v>2663</v>
      </c>
      <c r="E620" s="58" t="s">
        <v>2395</v>
      </c>
      <c r="F620" s="58" t="s">
        <v>2630</v>
      </c>
      <c r="G620" s="57" t="s">
        <v>2237</v>
      </c>
    </row>
    <row r="621" spans="1:7" ht="17.100000000000001">
      <c r="A621" s="75" t="s">
        <v>2610</v>
      </c>
      <c r="B621" s="75"/>
      <c r="C621" s="75"/>
      <c r="D621" s="75"/>
      <c r="E621" s="76"/>
      <c r="F621" s="75"/>
      <c r="G621" s="75"/>
    </row>
    <row r="622" spans="1:7">
      <c r="A622" s="57" t="s">
        <v>2403</v>
      </c>
      <c r="B622" s="57" t="s">
        <v>2331</v>
      </c>
      <c r="C622" s="57" t="s">
        <v>2390</v>
      </c>
      <c r="D622" s="57" t="s">
        <v>2663</v>
      </c>
      <c r="E622" s="58" t="s">
        <v>2392</v>
      </c>
      <c r="F622" s="58" t="s">
        <v>2630</v>
      </c>
      <c r="G622" s="57" t="s">
        <v>2404</v>
      </c>
    </row>
    <row r="623" spans="1:7">
      <c r="A623" s="57" t="s">
        <v>2405</v>
      </c>
      <c r="B623" s="57" t="s">
        <v>2406</v>
      </c>
      <c r="C623" s="57" t="s">
        <v>2390</v>
      </c>
      <c r="D623" s="57" t="s">
        <v>2663</v>
      </c>
      <c r="E623" s="58" t="s">
        <v>2392</v>
      </c>
      <c r="F623" s="58" t="s">
        <v>2630</v>
      </c>
      <c r="G623" s="57" t="s">
        <v>2407</v>
      </c>
    </row>
    <row r="624" spans="1:7">
      <c r="A624" s="57" t="s">
        <v>2342</v>
      </c>
      <c r="B624" s="57"/>
      <c r="C624" s="57" t="s">
        <v>2254</v>
      </c>
      <c r="D624" s="57" t="s">
        <v>2663</v>
      </c>
      <c r="E624" s="58" t="s">
        <v>2395</v>
      </c>
      <c r="F624" s="58" t="s">
        <v>2630</v>
      </c>
      <c r="G624" s="57" t="s">
        <v>2237</v>
      </c>
    </row>
    <row r="625" spans="1:7" ht="17.100000000000001">
      <c r="A625" s="75" t="s">
        <v>2611</v>
      </c>
      <c r="B625" s="75"/>
      <c r="C625" s="75"/>
      <c r="D625" s="75"/>
      <c r="E625" s="76"/>
      <c r="F625" s="75"/>
      <c r="G625" s="75"/>
    </row>
    <row r="626" spans="1:7">
      <c r="A626" s="57" t="s">
        <v>2409</v>
      </c>
      <c r="B626" s="57" t="s">
        <v>2236</v>
      </c>
      <c r="C626" s="57" t="s">
        <v>2390</v>
      </c>
      <c r="D626" s="57" t="s">
        <v>2663</v>
      </c>
      <c r="E626" s="58" t="s">
        <v>2392</v>
      </c>
      <c r="F626" s="58" t="s">
        <v>2630</v>
      </c>
      <c r="G626" s="57" t="s">
        <v>2237</v>
      </c>
    </row>
    <row r="627" spans="1:7">
      <c r="A627" s="57" t="s">
        <v>2410</v>
      </c>
      <c r="B627" s="57" t="s">
        <v>2236</v>
      </c>
      <c r="C627" s="57" t="s">
        <v>2411</v>
      </c>
      <c r="D627" s="57" t="s">
        <v>2663</v>
      </c>
      <c r="E627" s="58" t="s">
        <v>2412</v>
      </c>
      <c r="F627" s="58" t="s">
        <v>2630</v>
      </c>
      <c r="G627" s="57" t="s">
        <v>2413</v>
      </c>
    </row>
    <row r="628" spans="1:7" ht="17.100000000000001">
      <c r="A628" s="75" t="s">
        <v>2612</v>
      </c>
      <c r="B628" s="75"/>
      <c r="C628" s="75"/>
      <c r="D628" s="75"/>
      <c r="E628" s="76"/>
      <c r="F628" s="75"/>
      <c r="G628" s="75"/>
    </row>
    <row r="629" spans="1:7">
      <c r="A629" s="57" t="s">
        <v>2361</v>
      </c>
      <c r="B629" s="57" t="s">
        <v>2362</v>
      </c>
      <c r="C629" s="57" t="s">
        <v>2363</v>
      </c>
      <c r="D629" s="57" t="s">
        <v>2663</v>
      </c>
      <c r="E629" s="58" t="s">
        <v>2640</v>
      </c>
      <c r="F629" s="58" t="s">
        <v>2630</v>
      </c>
      <c r="G629" s="57" t="s">
        <v>2365</v>
      </c>
    </row>
    <row r="630" spans="1:7" ht="17.100000000000001">
      <c r="A630" s="75" t="s">
        <v>2613</v>
      </c>
      <c r="B630" s="75"/>
      <c r="C630" s="75"/>
      <c r="D630" s="75"/>
      <c r="E630" s="76"/>
      <c r="F630" s="75"/>
      <c r="G630" s="75"/>
    </row>
    <row r="631" spans="1:7">
      <c r="A631" s="57" t="s">
        <v>2416</v>
      </c>
      <c r="B631" s="57"/>
      <c r="C631" s="57" t="s">
        <v>2390</v>
      </c>
      <c r="D631" s="57" t="s">
        <v>2663</v>
      </c>
      <c r="E631" s="58" t="s">
        <v>2392</v>
      </c>
      <c r="F631" s="58" t="s">
        <v>2630</v>
      </c>
      <c r="G631" s="57" t="s">
        <v>2417</v>
      </c>
    </row>
    <row r="632" spans="1:7">
      <c r="A632" s="57" t="s">
        <v>2418</v>
      </c>
      <c r="B632" s="57" t="s">
        <v>2385</v>
      </c>
      <c r="C632" s="57" t="s">
        <v>2390</v>
      </c>
      <c r="D632" s="57" t="s">
        <v>2663</v>
      </c>
      <c r="E632" s="58" t="s">
        <v>2392</v>
      </c>
      <c r="F632" s="58" t="s">
        <v>2630</v>
      </c>
      <c r="G632" s="57" t="s">
        <v>2419</v>
      </c>
    </row>
    <row r="633" spans="1:7">
      <c r="A633" s="57" t="s">
        <v>2382</v>
      </c>
      <c r="B633" s="57"/>
      <c r="C633" s="57" t="s">
        <v>2254</v>
      </c>
      <c r="D633" s="57" t="s">
        <v>2663</v>
      </c>
      <c r="E633" s="58" t="s">
        <v>2395</v>
      </c>
      <c r="F633" s="58" t="s">
        <v>2630</v>
      </c>
      <c r="G633" s="57" t="s">
        <v>2237</v>
      </c>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4" t="s">
        <v>3697</v>
      </c>
      <c r="B1" s="344"/>
      <c r="C1" s="344"/>
      <c r="D1" s="344"/>
      <c r="E1" s="344"/>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5" t="s">
        <v>3804</v>
      </c>
      <c r="B1" s="345"/>
      <c r="C1" s="345"/>
      <c r="D1" s="345"/>
      <c r="E1" s="345"/>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7" t="s">
        <v>4223</v>
      </c>
      <c r="B1" s="347"/>
    </row>
    <row r="2" spans="1:2" ht="30" customHeight="1">
      <c r="A2" s="348" t="s">
        <v>4224</v>
      </c>
      <c r="B2" s="348"/>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49" t="s">
        <v>4237</v>
      </c>
      <c r="B10" s="349"/>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0" t="s">
        <v>4248</v>
      </c>
      <c r="B17" s="350"/>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46" t="s">
        <v>4259</v>
      </c>
      <c r="B24" s="346"/>
    </row>
    <row r="25" spans="1:2" ht="279.75" customHeight="1">
      <c r="A25" s="54" t="s">
        <v>4260</v>
      </c>
      <c r="B25" s="55" t="s">
        <v>4261</v>
      </c>
    </row>
    <row r="27" spans="1:2" ht="30" customHeight="1">
      <c r="A27" s="346" t="s">
        <v>4262</v>
      </c>
      <c r="B27" s="346"/>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29">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tabSelected="1" workbookViewId="0">
      <pane ySplit="1" topLeftCell="A191" activePane="bottomLeft" state="frozen"/>
      <selection pane="bottomLeft" activeCell="I196" sqref="I196"/>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08" t="s">
        <v>4364</v>
      </c>
    </row>
    <row r="2" spans="1:17" ht="18" customHeight="1" outlineLevel="1">
      <c r="A2" s="185">
        <v>46216</v>
      </c>
      <c r="B2" s="186"/>
      <c r="C2" s="186" t="s">
        <v>4365</v>
      </c>
      <c r="D2" s="186"/>
      <c r="E2" s="187"/>
      <c r="F2" s="186"/>
      <c r="G2" s="186"/>
      <c r="H2" s="186"/>
      <c r="I2" s="186"/>
      <c r="J2" s="186"/>
      <c r="K2" s="186"/>
      <c r="L2" s="186"/>
      <c r="M2" s="186"/>
      <c r="N2" s="186"/>
      <c r="O2" s="186"/>
      <c r="P2" s="186"/>
      <c r="Q2" s="181"/>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181" t="s">
        <v>4367</v>
      </c>
    </row>
    <row r="4" spans="1:17" ht="18" customHeight="1" outlineLevel="1">
      <c r="A4" s="188">
        <v>46216</v>
      </c>
      <c r="B4" s="189" t="str">
        <f t="shared" ca="1" si="0"/>
        <v>Expired</v>
      </c>
      <c r="C4" s="306" t="s">
        <v>865</v>
      </c>
      <c r="D4" s="189" t="s">
        <v>1857</v>
      </c>
      <c r="E4" s="190"/>
      <c r="F4" s="189"/>
      <c r="G4" s="189"/>
      <c r="H4" s="189"/>
      <c r="I4" s="189"/>
      <c r="J4" s="189"/>
      <c r="K4" s="189"/>
      <c r="L4" s="189"/>
      <c r="M4" s="189"/>
      <c r="N4" s="189"/>
      <c r="O4" s="189"/>
      <c r="P4" s="189"/>
      <c r="Q4" s="181"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181"/>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181"/>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181"/>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181"/>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181"/>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181"/>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181"/>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181"/>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181"/>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181"/>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181"/>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181"/>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181"/>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181"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181" t="s">
        <v>4367</v>
      </c>
    </row>
    <row r="20" spans="1:17" ht="18" customHeight="1" outlineLevel="1">
      <c r="A20" s="188">
        <v>46216</v>
      </c>
      <c r="B20" s="189" t="str">
        <f t="shared" ca="1" si="0"/>
        <v>Expired</v>
      </c>
      <c r="C20" s="306" t="s">
        <v>1520</v>
      </c>
      <c r="D20" s="189" t="s">
        <v>1875</v>
      </c>
      <c r="E20" s="190"/>
      <c r="F20" s="189"/>
      <c r="G20" s="189"/>
      <c r="H20" s="189"/>
      <c r="I20" s="189"/>
      <c r="J20" s="189"/>
      <c r="K20" s="189"/>
      <c r="L20" s="189"/>
      <c r="M20" s="189"/>
      <c r="N20" s="189"/>
      <c r="O20" s="189"/>
      <c r="P20" s="189"/>
      <c r="Q20" s="181"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181"/>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181"/>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181"/>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181"/>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181"/>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181"/>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181"/>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181"/>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181"/>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181"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181"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181"/>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181"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181"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181" t="s">
        <v>4370</v>
      </c>
    </row>
    <row r="36" spans="1:17" ht="18" customHeight="1" outlineLevel="1">
      <c r="A36" s="180">
        <v>46217</v>
      </c>
      <c r="B36" s="181" t="str">
        <f t="shared" ca="1" si="1"/>
        <v>Expired</v>
      </c>
      <c r="C36" s="307"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181"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181" t="s">
        <v>4370</v>
      </c>
    </row>
    <row r="38" spans="1:17" ht="18" customHeight="1" outlineLevel="1">
      <c r="A38" s="188">
        <v>46217</v>
      </c>
      <c r="B38" s="189" t="str">
        <f t="shared" ca="1" si="1"/>
        <v>Expired</v>
      </c>
      <c r="C38" s="306" t="s">
        <v>865</v>
      </c>
      <c r="D38" s="189" t="s">
        <v>1857</v>
      </c>
      <c r="E38" s="190"/>
      <c r="F38" s="189"/>
      <c r="G38" s="189"/>
      <c r="H38" s="189"/>
      <c r="I38" s="189"/>
      <c r="J38" s="189"/>
      <c r="K38" s="189"/>
      <c r="L38" s="189"/>
      <c r="M38" s="189"/>
      <c r="N38" s="189"/>
      <c r="O38" s="189"/>
      <c r="P38" s="189"/>
      <c r="Q38" s="181"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181"/>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181"/>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181"/>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181"/>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181"/>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181"/>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181"/>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181"/>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181"/>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181"/>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181"/>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181"/>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181"/>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181"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181"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181"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181"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181"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181"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181"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181"/>
    </row>
    <row r="60" spans="1:17" ht="18" customHeight="1" outlineLevel="1">
      <c r="A60" s="180">
        <v>46218</v>
      </c>
      <c r="B60" s="181" t="str">
        <f t="shared" ref="B60:B79" ca="1" si="2">IF($A60&lt;TODAY(),"Expired","Active")</f>
        <v>Expired</v>
      </c>
      <c r="C60" s="307"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181" t="s">
        <v>4368</v>
      </c>
    </row>
    <row r="61" spans="1:17" ht="18" customHeight="1" outlineLevel="1">
      <c r="A61" s="188">
        <v>46218</v>
      </c>
      <c r="B61" s="189" t="str">
        <f t="shared" ca="1" si="2"/>
        <v>Expired</v>
      </c>
      <c r="C61" s="306" t="s">
        <v>1796</v>
      </c>
      <c r="D61" s="189" t="s">
        <v>959</v>
      </c>
      <c r="E61" s="190"/>
      <c r="F61" s="189"/>
      <c r="G61" s="189"/>
      <c r="H61" s="189"/>
      <c r="I61" s="189"/>
      <c r="J61" s="189"/>
      <c r="K61" s="189"/>
      <c r="L61" s="189"/>
      <c r="M61" s="189"/>
      <c r="N61" s="189"/>
      <c r="O61" s="189"/>
      <c r="P61" s="189"/>
      <c r="Q61" s="181"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181"/>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181"/>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181"/>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181"/>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181"/>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181" t="s">
        <v>4370</v>
      </c>
    </row>
    <row r="68" spans="1:17" ht="18" customHeight="1" outlineLevel="1">
      <c r="A68" s="188">
        <v>46218</v>
      </c>
      <c r="B68" s="189" t="str">
        <f t="shared" ca="1" si="2"/>
        <v>Expired</v>
      </c>
      <c r="C68" s="306" t="s">
        <v>1796</v>
      </c>
      <c r="D68" s="189" t="s">
        <v>1875</v>
      </c>
      <c r="E68" s="190"/>
      <c r="F68" s="189"/>
      <c r="G68" s="189"/>
      <c r="H68" s="189"/>
      <c r="I68" s="189"/>
      <c r="J68" s="189"/>
      <c r="K68" s="189"/>
      <c r="L68" s="189"/>
      <c r="M68" s="189"/>
      <c r="N68" s="189"/>
      <c r="O68" s="189"/>
      <c r="P68" s="189"/>
      <c r="Q68" s="181"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181"/>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181"/>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181"/>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181"/>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181"/>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181"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181"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181"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181"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181"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181"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181"/>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181"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181"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181"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181"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181"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181"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181"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181"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181"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181"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181"/>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181"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181"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181"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181"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181"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181"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181"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181"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181"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181"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181"/>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181"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181"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181"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181"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181"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181"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181"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181"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181"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181"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181"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181" t="s">
        <v>4367</v>
      </c>
    </row>
    <row r="115" spans="1:17" ht="18" customHeight="1" outlineLevel="1">
      <c r="A115" s="180">
        <v>46238</v>
      </c>
      <c r="B115" s="181" t="str">
        <f ca="1">IF($A115&lt;TODAY(),"Expired","Active")</f>
        <v>Expired</v>
      </c>
      <c r="C115" s="181" t="s">
        <v>1894</v>
      </c>
      <c r="D115" s="181" t="s">
        <v>1885</v>
      </c>
      <c r="E115" s="182"/>
      <c r="F115" s="181"/>
      <c r="G115" s="181"/>
      <c r="H115" s="181"/>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181" t="s">
        <v>4384</v>
      </c>
    </row>
    <row r="116" spans="1:17" ht="18" customHeight="1" outlineLevel="1">
      <c r="A116" s="180">
        <v>46238</v>
      </c>
      <c r="B116" s="181" t="str">
        <f ca="1">IF($A116&lt;TODAY(),"Expired","Active")</f>
        <v>Expired</v>
      </c>
      <c r="C116" s="181" t="s">
        <v>1184</v>
      </c>
      <c r="D116" s="181" t="s">
        <v>959</v>
      </c>
      <c r="E116" s="182"/>
      <c r="F116" s="181"/>
      <c r="G116" s="181"/>
      <c r="H116" s="181"/>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181" t="s">
        <v>4384</v>
      </c>
    </row>
    <row r="117" spans="1:17" ht="18" customHeight="1" outlineLevel="1">
      <c r="A117" s="180">
        <v>46238</v>
      </c>
      <c r="B117" s="181" t="str">
        <f ca="1">IF($A117&lt;TODAY(),"Expired","Active")</f>
        <v>Expired</v>
      </c>
      <c r="C117" s="181" t="s">
        <v>1193</v>
      </c>
      <c r="D117" s="181" t="s">
        <v>959</v>
      </c>
      <c r="E117" s="182"/>
      <c r="F117" s="181"/>
      <c r="G117" s="181"/>
      <c r="H117" s="181"/>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181"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181"/>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181"/>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181"/>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181" t="s">
        <v>4367</v>
      </c>
    </row>
    <row r="122" spans="1:17" ht="18" customHeight="1" outlineLevel="1">
      <c r="A122" s="180">
        <v>46239</v>
      </c>
      <c r="B122" s="181" t="str">
        <f t="shared" ca="1" si="6"/>
        <v>Expired</v>
      </c>
      <c r="C122" s="307"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181"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181"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181" t="s">
        <v>4367</v>
      </c>
    </row>
    <row r="125" spans="1:17" ht="18" customHeight="1" outlineLevel="1">
      <c r="A125" s="180">
        <v>46239</v>
      </c>
      <c r="B125" s="181" t="str">
        <f t="shared" ca="1" si="6"/>
        <v>Expired</v>
      </c>
      <c r="C125" s="307"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181"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181"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181"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181"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181" t="s">
        <v>4367</v>
      </c>
    </row>
    <row r="130" spans="1:17" ht="18" customHeight="1" outlineLevel="1">
      <c r="A130" s="180">
        <v>46239</v>
      </c>
      <c r="B130" s="181" t="str">
        <f t="shared" ref="B130:B137" ca="1" si="7">IF($A130&lt;TODAY(),"Expired","Active")</f>
        <v>Expired</v>
      </c>
      <c r="C130" s="181" t="s">
        <v>605</v>
      </c>
      <c r="D130" s="181" t="s">
        <v>1857</v>
      </c>
      <c r="E130" s="182"/>
      <c r="F130" s="181"/>
      <c r="G130" s="181"/>
      <c r="H130" s="181"/>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181" t="s">
        <v>4384</v>
      </c>
    </row>
    <row r="131" spans="1:17" ht="18" customHeight="1" outlineLevel="1">
      <c r="A131" s="180">
        <v>46239</v>
      </c>
      <c r="B131" s="181" t="str">
        <f t="shared" ca="1" si="7"/>
        <v>Expired</v>
      </c>
      <c r="C131" s="181" t="s">
        <v>1824</v>
      </c>
      <c r="D131" s="181" t="s">
        <v>1857</v>
      </c>
      <c r="E131" s="182"/>
      <c r="F131" s="181"/>
      <c r="G131" s="181"/>
      <c r="H131" s="181"/>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181" t="s">
        <v>4384</v>
      </c>
    </row>
    <row r="132" spans="1:17" ht="18" customHeight="1" outlineLevel="1">
      <c r="A132" s="180">
        <v>46239</v>
      </c>
      <c r="B132" s="181" t="str">
        <f t="shared" ca="1" si="7"/>
        <v>Expired</v>
      </c>
      <c r="C132" s="181" t="s">
        <v>1824</v>
      </c>
      <c r="D132" s="181" t="s">
        <v>1875</v>
      </c>
      <c r="E132" s="182"/>
      <c r="F132" s="181"/>
      <c r="G132" s="181"/>
      <c r="H132" s="181"/>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181" t="s">
        <v>4384</v>
      </c>
    </row>
    <row r="133" spans="1:17" ht="18" customHeight="1" outlineLevel="1">
      <c r="A133" s="180">
        <v>46239</v>
      </c>
      <c r="B133" s="181" t="str">
        <f t="shared" ca="1" si="7"/>
        <v>Expired</v>
      </c>
      <c r="C133" s="181" t="s">
        <v>605</v>
      </c>
      <c r="D133" s="181" t="s">
        <v>959</v>
      </c>
      <c r="E133" s="182"/>
      <c r="F133" s="181"/>
      <c r="G133" s="181"/>
      <c r="H133" s="181"/>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181" t="s">
        <v>4384</v>
      </c>
    </row>
    <row r="134" spans="1:17" ht="18" customHeight="1" outlineLevel="1">
      <c r="A134" s="180">
        <v>46239</v>
      </c>
      <c r="B134" s="181" t="str">
        <f t="shared" ca="1" si="7"/>
        <v>Expired</v>
      </c>
      <c r="C134" s="181" t="s">
        <v>1824</v>
      </c>
      <c r="D134" s="181" t="s">
        <v>959</v>
      </c>
      <c r="E134" s="182"/>
      <c r="F134" s="181"/>
      <c r="G134" s="181"/>
      <c r="H134" s="181"/>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181" t="s">
        <v>4384</v>
      </c>
    </row>
    <row r="135" spans="1:17" ht="18" customHeight="1" outlineLevel="1">
      <c r="A135" s="180">
        <v>46239</v>
      </c>
      <c r="B135" s="181" t="str">
        <f t="shared" ca="1" si="7"/>
        <v>Expired</v>
      </c>
      <c r="C135" s="181" t="s">
        <v>1010</v>
      </c>
      <c r="D135" s="181" t="s">
        <v>959</v>
      </c>
      <c r="E135" s="182"/>
      <c r="F135" s="181"/>
      <c r="G135" s="181"/>
      <c r="H135" s="181"/>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181" t="s">
        <v>4384</v>
      </c>
    </row>
    <row r="136" spans="1:17" ht="18" customHeight="1" outlineLevel="1">
      <c r="A136" s="180">
        <v>46239</v>
      </c>
      <c r="B136" s="181" t="str">
        <f t="shared" ca="1" si="7"/>
        <v>Expired</v>
      </c>
      <c r="C136" s="181" t="s">
        <v>994</v>
      </c>
      <c r="D136" s="181" t="s">
        <v>959</v>
      </c>
      <c r="E136" s="182"/>
      <c r="F136" s="181"/>
      <c r="G136" s="181"/>
      <c r="H136" s="181"/>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181" t="s">
        <v>4384</v>
      </c>
    </row>
    <row r="137" spans="1:17" ht="18" customHeight="1" outlineLevel="1">
      <c r="A137" s="180">
        <v>46239</v>
      </c>
      <c r="B137" s="181" t="str">
        <f t="shared" ca="1" si="7"/>
        <v>Expired</v>
      </c>
      <c r="C137" s="181" t="s">
        <v>1180</v>
      </c>
      <c r="D137" s="181" t="s">
        <v>959</v>
      </c>
      <c r="E137" s="182"/>
      <c r="F137" s="181"/>
      <c r="G137" s="181"/>
      <c r="H137" s="181"/>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181"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181"/>
    </row>
    <row r="139" spans="1:17" ht="18" customHeight="1" outlineLevel="1">
      <c r="A139" s="180">
        <v>46240</v>
      </c>
      <c r="B139" s="181" t="str">
        <f t="shared" ref="B139:B149" ca="1" si="8">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181" t="s">
        <v>4367</v>
      </c>
    </row>
    <row r="140" spans="1:17" ht="18" customHeight="1" outlineLevel="1">
      <c r="A140" s="180">
        <v>46240</v>
      </c>
      <c r="B140" s="181" t="str">
        <f t="shared" ca="1" si="8"/>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181"/>
    </row>
    <row r="141" spans="1:17" ht="18" customHeight="1" outlineLevel="1">
      <c r="A141" s="180">
        <v>46240</v>
      </c>
      <c r="B141" s="181" t="str">
        <f t="shared" ca="1" si="8"/>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181" t="s">
        <v>4367</v>
      </c>
    </row>
    <row r="142" spans="1:17" ht="18" customHeight="1" outlineLevel="1">
      <c r="A142" s="180">
        <v>46240</v>
      </c>
      <c r="B142" s="181" t="str">
        <f t="shared" ca="1" si="8"/>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181" t="s">
        <v>4367</v>
      </c>
    </row>
    <row r="143" spans="1:17" ht="18" customHeight="1" outlineLevel="1">
      <c r="A143" s="180">
        <v>46240</v>
      </c>
      <c r="B143" s="181" t="str">
        <f t="shared" ca="1" si="8"/>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181" t="s">
        <v>4367</v>
      </c>
    </row>
    <row r="144" spans="1:17" ht="18" customHeight="1" outlineLevel="1">
      <c r="A144" s="180">
        <v>46240</v>
      </c>
      <c r="B144" s="181" t="str">
        <f t="shared" ca="1" si="8"/>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181" t="s">
        <v>4367</v>
      </c>
    </row>
    <row r="145" spans="1:17" ht="18" customHeight="1" outlineLevel="1">
      <c r="A145" s="180">
        <v>46240</v>
      </c>
      <c r="B145" s="181" t="str">
        <f t="shared" ca="1" si="8"/>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181" t="s">
        <v>4367</v>
      </c>
    </row>
    <row r="146" spans="1:17" ht="18" customHeight="1" outlineLevel="1">
      <c r="A146" s="180">
        <v>46240</v>
      </c>
      <c r="B146" s="181" t="str">
        <f t="shared" ca="1" si="8"/>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181" t="s">
        <v>4367</v>
      </c>
    </row>
    <row r="147" spans="1:17" ht="18" customHeight="1" outlineLevel="1">
      <c r="A147" s="180">
        <v>46240</v>
      </c>
      <c r="B147" s="181" t="str">
        <f t="shared" ca="1" si="8"/>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181" t="s">
        <v>4367</v>
      </c>
    </row>
    <row r="148" spans="1:17" ht="18" customHeight="1" outlineLevel="1">
      <c r="A148" s="180">
        <v>46240</v>
      </c>
      <c r="B148" s="181" t="str">
        <f t="shared" ca="1" si="8"/>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181" t="s">
        <v>4367</v>
      </c>
    </row>
    <row r="149" spans="1:17" ht="18" customHeight="1" outlineLevel="1">
      <c r="A149" s="180">
        <v>46240</v>
      </c>
      <c r="B149" s="181" t="str">
        <f t="shared" ca="1" si="8"/>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181" t="s">
        <v>4367</v>
      </c>
    </row>
    <row r="150" spans="1:17" ht="18" customHeight="1" outlineLevel="1">
      <c r="A150" s="180">
        <v>46240</v>
      </c>
      <c r="B150" s="181" t="str">
        <f ca="1">IF($A150&lt;TODAY(),"Expired","Active")</f>
        <v>Expired</v>
      </c>
      <c r="C150" s="181" t="s">
        <v>1184</v>
      </c>
      <c r="D150" s="181" t="s">
        <v>959</v>
      </c>
      <c r="E150" s="182"/>
      <c r="F150" s="181"/>
      <c r="G150" s="181"/>
      <c r="H150" s="181"/>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181" t="s">
        <v>4384</v>
      </c>
    </row>
    <row r="151" spans="1:17" ht="18" customHeight="1" outlineLevel="1">
      <c r="A151" s="180">
        <v>46240</v>
      </c>
      <c r="B151" s="181" t="str">
        <f ca="1">IF($A151&lt;TODAY(),"Expired","Active")</f>
        <v>Expired</v>
      </c>
      <c r="C151" s="181" t="s">
        <v>1987</v>
      </c>
      <c r="D151" s="181" t="s">
        <v>959</v>
      </c>
      <c r="E151" s="182"/>
      <c r="F151" s="181"/>
      <c r="G151" s="181"/>
      <c r="H151" s="181"/>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181"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181"/>
    </row>
    <row r="153" spans="1:17" ht="18" customHeight="1" outlineLevel="1">
      <c r="A153" s="180">
        <v>46241</v>
      </c>
      <c r="B153" s="181" t="str">
        <f t="shared" ref="B153:B170" ca="1" si="9">IF($A153&lt;TODAY(),"Expired","Active")</f>
        <v>Expired</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181" t="s">
        <v>4367</v>
      </c>
    </row>
    <row r="154" spans="1:17" ht="18" customHeight="1" outlineLevel="1">
      <c r="A154" s="180">
        <v>46241</v>
      </c>
      <c r="B154" s="181" t="str">
        <f t="shared" ca="1" si="9"/>
        <v>Expired</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181" t="s">
        <v>4367</v>
      </c>
    </row>
    <row r="155" spans="1:17" ht="18" customHeight="1" outlineLevel="1">
      <c r="A155" s="188">
        <v>46241</v>
      </c>
      <c r="B155" s="189" t="str">
        <f t="shared" ca="1" si="9"/>
        <v>Expired</v>
      </c>
      <c r="C155" s="306" t="s">
        <v>1702</v>
      </c>
      <c r="D155" s="189" t="s">
        <v>1875</v>
      </c>
      <c r="E155" s="190"/>
      <c r="F155" s="189"/>
      <c r="G155" s="189"/>
      <c r="H155" s="189"/>
      <c r="I155" s="189" t="s">
        <v>4382</v>
      </c>
      <c r="J155" s="189"/>
      <c r="K155" s="189"/>
      <c r="L155" s="189"/>
      <c r="M155" s="189"/>
      <c r="N155" s="189"/>
      <c r="O155" s="189"/>
      <c r="P155" s="189"/>
      <c r="Q155" s="181" t="s">
        <v>4368</v>
      </c>
    </row>
    <row r="156" spans="1:17" ht="18" customHeight="1" outlineLevel="1">
      <c r="A156" s="180">
        <v>46241</v>
      </c>
      <c r="B156" s="181" t="str">
        <f t="shared" ca="1" si="9"/>
        <v>Expired</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181"/>
    </row>
    <row r="157" spans="1:17" ht="18" customHeight="1" outlineLevel="1">
      <c r="A157" s="180">
        <v>46241</v>
      </c>
      <c r="B157" s="181" t="str">
        <f t="shared" ca="1" si="9"/>
        <v>Expired</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181"/>
    </row>
    <row r="158" spans="1:17" ht="18" customHeight="1" outlineLevel="1">
      <c r="A158" s="180">
        <v>46241</v>
      </c>
      <c r="B158" s="181" t="str">
        <f t="shared" ca="1" si="9"/>
        <v>Expired</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181"/>
    </row>
    <row r="159" spans="1:17" ht="18" customHeight="1" outlineLevel="1">
      <c r="A159" s="180">
        <v>46241</v>
      </c>
      <c r="B159" s="181" t="str">
        <f t="shared" ca="1" si="9"/>
        <v>Expired</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181"/>
    </row>
    <row r="160" spans="1:17" ht="18" customHeight="1" outlineLevel="1">
      <c r="A160" s="180">
        <v>46241</v>
      </c>
      <c r="B160" s="181" t="str">
        <f t="shared" ca="1" si="9"/>
        <v>Expired</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181"/>
    </row>
    <row r="161" spans="1:17" ht="18" customHeight="1" outlineLevel="1">
      <c r="A161" s="180">
        <v>46241</v>
      </c>
      <c r="B161" s="181" t="str">
        <f t="shared" ca="1" si="9"/>
        <v>Expired</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181"/>
    </row>
    <row r="162" spans="1:17" ht="18" customHeight="1" outlineLevel="1">
      <c r="A162" s="180">
        <v>46241</v>
      </c>
      <c r="B162" s="181" t="str">
        <f t="shared" ca="1" si="9"/>
        <v>Expired</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181"/>
    </row>
    <row r="163" spans="1:17" ht="18" customHeight="1" outlineLevel="1">
      <c r="A163" s="180">
        <v>46241</v>
      </c>
      <c r="B163" s="181" t="str">
        <f t="shared" ca="1" si="9"/>
        <v>Expired</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181"/>
    </row>
    <row r="164" spans="1:17" ht="18" customHeight="1" outlineLevel="1">
      <c r="A164" s="180">
        <v>46241</v>
      </c>
      <c r="B164" s="181" t="str">
        <f t="shared" ca="1" si="9"/>
        <v>Expired</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181"/>
    </row>
    <row r="165" spans="1:17" ht="18" customHeight="1" outlineLevel="1">
      <c r="A165" s="180">
        <v>46241</v>
      </c>
      <c r="B165" s="181" t="str">
        <f t="shared" ca="1" si="9"/>
        <v>Expired</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181"/>
    </row>
    <row r="166" spans="1:17" ht="18" customHeight="1" outlineLevel="1">
      <c r="A166" s="180">
        <v>46241</v>
      </c>
      <c r="B166" s="181" t="str">
        <f t="shared" ca="1" si="9"/>
        <v>Expired</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181"/>
    </row>
    <row r="167" spans="1:17" ht="18" customHeight="1" outlineLevel="1">
      <c r="A167" s="180">
        <v>46241</v>
      </c>
      <c r="B167" s="181" t="str">
        <f t="shared" ca="1" si="9"/>
        <v>Expired</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181" t="s">
        <v>4367</v>
      </c>
    </row>
    <row r="168" spans="1:17" ht="18" customHeight="1" outlineLevel="1">
      <c r="A168" s="180">
        <v>46241</v>
      </c>
      <c r="B168" s="181" t="str">
        <f t="shared" ca="1" si="9"/>
        <v>Expired</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181" t="s">
        <v>4367</v>
      </c>
    </row>
    <row r="169" spans="1:17" ht="18" customHeight="1" outlineLevel="1">
      <c r="A169" s="180">
        <v>46241</v>
      </c>
      <c r="B169" s="181" t="str">
        <f t="shared" ca="1" si="9"/>
        <v>Expired</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181" t="s">
        <v>4367</v>
      </c>
    </row>
    <row r="170" spans="1:17" ht="18" customHeight="1" outlineLevel="1">
      <c r="A170" s="180">
        <v>46241</v>
      </c>
      <c r="B170" s="181" t="str">
        <f t="shared" ca="1" si="9"/>
        <v>Expired</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181" t="s">
        <v>4367</v>
      </c>
    </row>
    <row r="171" spans="1:17" ht="18" customHeight="1" outlineLevel="1">
      <c r="A171" s="180">
        <v>46241</v>
      </c>
      <c r="B171" s="181" t="str">
        <f ca="1">IF($A171&lt;TODAY(),"Expired","Active")</f>
        <v>Expired</v>
      </c>
      <c r="C171" s="181" t="s">
        <v>1187</v>
      </c>
      <c r="D171" s="181" t="s">
        <v>959</v>
      </c>
      <c r="E171" s="182"/>
      <c r="F171" s="181"/>
      <c r="G171" s="181"/>
      <c r="H171" s="181"/>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181"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181"/>
    </row>
    <row r="173" spans="1:17" ht="18" customHeight="1" outlineLevel="1">
      <c r="A173" s="188">
        <v>46244</v>
      </c>
      <c r="B173" s="189" t="str">
        <f t="shared" ref="B173:B191" ca="1" si="10">IF($A173&lt;TODAY(),"Expired","Active")</f>
        <v>Active</v>
      </c>
      <c r="C173" s="306" t="s">
        <v>865</v>
      </c>
      <c r="D173" s="189" t="s">
        <v>1857</v>
      </c>
      <c r="E173" s="190"/>
      <c r="F173" s="189"/>
      <c r="G173" s="189"/>
      <c r="H173" s="189"/>
      <c r="I173" s="189"/>
      <c r="J173" s="189"/>
      <c r="K173" s="189"/>
      <c r="L173" s="189"/>
      <c r="M173" s="189"/>
      <c r="N173" s="189"/>
      <c r="O173" s="189"/>
      <c r="P173" s="189"/>
      <c r="Q173" s="181" t="s">
        <v>4368</v>
      </c>
    </row>
    <row r="174" spans="1:17" ht="18" customHeight="1" outlineLevel="1">
      <c r="A174" s="180">
        <v>46244</v>
      </c>
      <c r="B174" s="181" t="str">
        <f t="shared" ca="1" si="10"/>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181"/>
    </row>
    <row r="175" spans="1:17" ht="18" customHeight="1">
      <c r="A175" s="180">
        <v>46244</v>
      </c>
      <c r="B175" s="181" t="str">
        <f t="shared" ca="1" si="10"/>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181"/>
    </row>
    <row r="176" spans="1:17" ht="18" customHeight="1">
      <c r="A176" s="180">
        <v>46244</v>
      </c>
      <c r="B176" s="181" t="str">
        <f t="shared" ca="1" si="10"/>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181"/>
    </row>
    <row r="177" spans="1:17" ht="18" customHeight="1">
      <c r="A177" s="180">
        <v>46244</v>
      </c>
      <c r="B177" s="181" t="str">
        <f t="shared" ca="1" si="10"/>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181"/>
    </row>
    <row r="178" spans="1:17" ht="18" customHeight="1">
      <c r="A178" s="180">
        <v>46244</v>
      </c>
      <c r="B178" s="181" t="str">
        <f t="shared" ca="1" si="10"/>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181"/>
    </row>
    <row r="179" spans="1:17" ht="18" customHeight="1">
      <c r="A179" s="180">
        <v>46244</v>
      </c>
      <c r="B179" s="181" t="str">
        <f t="shared" ca="1" si="10"/>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181"/>
    </row>
    <row r="180" spans="1:17" ht="18" customHeight="1">
      <c r="A180" s="180">
        <v>46244</v>
      </c>
      <c r="B180" s="181" t="str">
        <f t="shared" ca="1" si="10"/>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181"/>
    </row>
    <row r="181" spans="1:17" ht="18" customHeight="1">
      <c r="A181" s="180">
        <v>46244</v>
      </c>
      <c r="B181" s="181" t="str">
        <f t="shared" ca="1" si="10"/>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181"/>
    </row>
    <row r="182" spans="1:17" ht="18" customHeight="1">
      <c r="A182" s="180">
        <v>46244</v>
      </c>
      <c r="B182" s="181" t="str">
        <f t="shared" ca="1" si="10"/>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181"/>
    </row>
    <row r="183" spans="1:17" ht="18" customHeight="1">
      <c r="A183" s="180">
        <v>46244</v>
      </c>
      <c r="B183" s="181" t="str">
        <f t="shared" ca="1" si="10"/>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181"/>
    </row>
    <row r="184" spans="1:17" ht="18" customHeight="1">
      <c r="A184" s="180">
        <v>46244</v>
      </c>
      <c r="B184" s="181" t="str">
        <f t="shared" ca="1" si="10"/>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181"/>
    </row>
    <row r="185" spans="1:17" ht="18" customHeight="1">
      <c r="A185" s="180">
        <v>46244</v>
      </c>
      <c r="B185" s="181" t="str">
        <f t="shared" ca="1" si="10"/>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181"/>
    </row>
    <row r="186" spans="1:17" ht="18" customHeight="1">
      <c r="A186" s="180">
        <v>46244</v>
      </c>
      <c r="B186" s="181" t="str">
        <f t="shared" ca="1" si="10"/>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181"/>
    </row>
    <row r="187" spans="1:17" ht="18" customHeight="1">
      <c r="A187" s="180">
        <v>46244</v>
      </c>
      <c r="B187" s="181" t="str">
        <f t="shared" ca="1" si="10"/>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181" t="s">
        <v>4367</v>
      </c>
    </row>
    <row r="188" spans="1:17" ht="18" customHeight="1">
      <c r="A188" s="180">
        <v>46244</v>
      </c>
      <c r="B188" s="181" t="str">
        <f t="shared" ca="1" si="10"/>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181" t="s">
        <v>4367</v>
      </c>
    </row>
    <row r="189" spans="1:17" ht="18" customHeight="1">
      <c r="A189" s="180">
        <v>46244</v>
      </c>
      <c r="B189" s="181" t="str">
        <f t="shared" ca="1" si="10"/>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181" t="s">
        <v>4367</v>
      </c>
    </row>
    <row r="190" spans="1:17" ht="18" customHeight="1">
      <c r="A190" s="180">
        <v>46244</v>
      </c>
      <c r="B190" s="181" t="str">
        <f t="shared" ca="1" si="10"/>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181" t="s">
        <v>4367</v>
      </c>
    </row>
    <row r="191" spans="1:17" ht="18" customHeight="1">
      <c r="A191" s="180">
        <v>46244</v>
      </c>
      <c r="B191" s="181" t="str">
        <f t="shared" ca="1" si="10"/>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181" t="s">
        <v>4367</v>
      </c>
    </row>
    <row r="192" spans="1:17" ht="18" customHeight="1">
      <c r="A192" s="180">
        <v>46244</v>
      </c>
      <c r="B192" s="181" t="str">
        <f ca="1">IF($A192&lt;TODAY(),"Expired","Active")</f>
        <v>Active</v>
      </c>
      <c r="C192" s="181" t="s">
        <v>1410</v>
      </c>
      <c r="D192" s="181" t="s">
        <v>1875</v>
      </c>
      <c r="E192" s="182"/>
      <c r="F192" s="181"/>
      <c r="G192" s="181"/>
      <c r="H192" s="181"/>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181" t="s">
        <v>4384</v>
      </c>
    </row>
    <row r="193" spans="1:17" ht="18" customHeight="1">
      <c r="A193" s="180">
        <v>46244</v>
      </c>
      <c r="B193" s="181" t="str">
        <f ca="1">IF($A193&lt;TODAY(),"Expired","Active")</f>
        <v>Active</v>
      </c>
      <c r="C193" s="181" t="s">
        <v>1190</v>
      </c>
      <c r="D193" s="181" t="s">
        <v>959</v>
      </c>
      <c r="E193" s="182"/>
      <c r="F193" s="181"/>
      <c r="G193" s="181"/>
      <c r="H193" s="181"/>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181"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181"/>
    </row>
    <row r="195" spans="1:17" ht="18" customHeight="1">
      <c r="A195" s="180">
        <v>46245</v>
      </c>
      <c r="B195" s="181" t="str">
        <f t="shared" ref="B195:B203" ca="1" si="11">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181" t="s">
        <v>4367</v>
      </c>
    </row>
    <row r="196" spans="1:17" ht="18" customHeight="1">
      <c r="A196" s="180">
        <v>46245</v>
      </c>
      <c r="B196" s="181" t="str">
        <f t="shared" ca="1" si="11"/>
        <v>Active</v>
      </c>
      <c r="C196" s="181" t="s">
        <v>880</v>
      </c>
      <c r="D196" s="181" t="s">
        <v>1857</v>
      </c>
      <c r="E196" s="182"/>
      <c r="F196" s="181"/>
      <c r="G196" s="181"/>
      <c r="H196" s="181"/>
      <c r="I196" s="181" t="s">
        <v>4382</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181" t="s">
        <v>4367</v>
      </c>
    </row>
    <row r="197" spans="1:17" ht="18" customHeight="1">
      <c r="A197" s="180">
        <v>46245</v>
      </c>
      <c r="B197" s="181" t="str">
        <f t="shared" ca="1" si="11"/>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181" t="s">
        <v>4367</v>
      </c>
    </row>
    <row r="198" spans="1:17" ht="18" customHeight="1">
      <c r="A198" s="180">
        <v>46245</v>
      </c>
      <c r="B198" s="181" t="str">
        <f t="shared" ca="1" si="11"/>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181" t="s">
        <v>4367</v>
      </c>
    </row>
    <row r="199" spans="1:17" ht="18" customHeight="1">
      <c r="A199" s="180">
        <v>46245</v>
      </c>
      <c r="B199" s="181" t="str">
        <f t="shared" ca="1" si="11"/>
        <v>Active</v>
      </c>
      <c r="C199" s="181" t="s">
        <v>880</v>
      </c>
      <c r="D199" s="181" t="s">
        <v>1875</v>
      </c>
      <c r="E199" s="182"/>
      <c r="F199" s="181"/>
      <c r="G199" s="181"/>
      <c r="H199" s="181"/>
      <c r="I199" s="181" t="s">
        <v>4382</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181" t="s">
        <v>4367</v>
      </c>
    </row>
    <row r="200" spans="1:17" ht="18" customHeight="1">
      <c r="A200" s="180">
        <v>46245</v>
      </c>
      <c r="B200" s="181" t="str">
        <f t="shared" ca="1" si="11"/>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181" t="s">
        <v>4367</v>
      </c>
    </row>
    <row r="201" spans="1:17" ht="18" customHeight="1">
      <c r="A201" s="180">
        <v>46245</v>
      </c>
      <c r="B201" s="181" t="str">
        <f t="shared" ca="1" si="11"/>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181" t="s">
        <v>4367</v>
      </c>
    </row>
    <row r="202" spans="1:17" ht="18" customHeight="1">
      <c r="A202" s="180">
        <v>46245</v>
      </c>
      <c r="B202" s="181" t="str">
        <f t="shared" ca="1" si="11"/>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181" t="s">
        <v>4367</v>
      </c>
    </row>
    <row r="203" spans="1:17" ht="18" customHeight="1">
      <c r="A203" s="180">
        <v>46245</v>
      </c>
      <c r="B203" s="181" t="str">
        <f t="shared" ca="1" si="11"/>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181" t="s">
        <v>4367</v>
      </c>
    </row>
    <row r="204" spans="1:17" ht="18" customHeight="1">
      <c r="A204" s="180">
        <v>46245</v>
      </c>
      <c r="B204" s="181" t="str">
        <f ca="1">IF($A204&lt;TODAY(),"Expired","Active")</f>
        <v>Active</v>
      </c>
      <c r="C204" s="181" t="s">
        <v>832</v>
      </c>
      <c r="D204" s="181" t="s">
        <v>1875</v>
      </c>
      <c r="E204" s="182"/>
      <c r="F204" s="181"/>
      <c r="G204" s="181"/>
      <c r="H204" s="181"/>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181" t="s">
        <v>4384</v>
      </c>
    </row>
    <row r="205" spans="1:17" ht="18" customHeight="1">
      <c r="A205" s="180">
        <v>46245</v>
      </c>
      <c r="B205" s="181" t="str">
        <f ca="1">IF($A205&lt;TODAY(),"Expired","Active")</f>
        <v>Active</v>
      </c>
      <c r="C205" s="181" t="s">
        <v>553</v>
      </c>
      <c r="D205" s="181" t="s">
        <v>1885</v>
      </c>
      <c r="E205" s="182"/>
      <c r="F205" s="181"/>
      <c r="G205" s="181"/>
      <c r="H205" s="181"/>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181" t="s">
        <v>4384</v>
      </c>
    </row>
    <row r="206" spans="1:17" ht="18" customHeight="1">
      <c r="A206" s="180">
        <v>46245</v>
      </c>
      <c r="B206" s="181" t="str">
        <f ca="1">IF($A206&lt;TODAY(),"Expired","Active")</f>
        <v>Active</v>
      </c>
      <c r="C206" s="181" t="s">
        <v>1127</v>
      </c>
      <c r="D206" s="181" t="s">
        <v>959</v>
      </c>
      <c r="E206" s="182"/>
      <c r="F206" s="181"/>
      <c r="G206" s="181"/>
      <c r="H206" s="181"/>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181" t="s">
        <v>4384</v>
      </c>
    </row>
    <row r="207" spans="1:17" ht="18" customHeight="1">
      <c r="A207" s="180">
        <v>46245</v>
      </c>
      <c r="B207" s="181" t="str">
        <f ca="1">IF($A207&lt;TODAY(),"Expired","Active")</f>
        <v>Active</v>
      </c>
      <c r="C207" s="181" t="s">
        <v>1193</v>
      </c>
      <c r="D207" s="181" t="s">
        <v>959</v>
      </c>
      <c r="E207" s="182"/>
      <c r="F207" s="181"/>
      <c r="G207" s="181"/>
      <c r="H207" s="181"/>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181"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181"/>
    </row>
    <row r="209" spans="1:17" ht="18" customHeight="1">
      <c r="A209" s="180">
        <v>46246</v>
      </c>
      <c r="B209" s="181" t="str">
        <f t="shared" ref="B209:B228" ca="1" si="12">IF($A209&lt;TODAY(),"Expired","Active")</f>
        <v>Active</v>
      </c>
      <c r="C209" s="307"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181" t="s">
        <v>4368</v>
      </c>
    </row>
    <row r="210" spans="1:17" ht="18" customHeight="1">
      <c r="A210" s="180">
        <v>46246</v>
      </c>
      <c r="B210" s="181" t="str">
        <f t="shared" ca="1" si="12"/>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181" t="s">
        <v>4367</v>
      </c>
    </row>
    <row r="211" spans="1:17" ht="18" customHeight="1">
      <c r="A211" s="180">
        <v>46246</v>
      </c>
      <c r="B211" s="181" t="str">
        <f t="shared" ca="1" si="12"/>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181" t="s">
        <v>4367</v>
      </c>
    </row>
    <row r="212" spans="1:17" ht="18" customHeight="1">
      <c r="A212" s="188">
        <v>46246</v>
      </c>
      <c r="B212" s="189" t="str">
        <f t="shared" ca="1" si="12"/>
        <v>Active</v>
      </c>
      <c r="C212" s="306" t="s">
        <v>1796</v>
      </c>
      <c r="D212" s="189" t="s">
        <v>1875</v>
      </c>
      <c r="E212" s="190"/>
      <c r="F212" s="189"/>
      <c r="G212" s="189"/>
      <c r="H212" s="189"/>
      <c r="I212" s="189"/>
      <c r="J212" s="189"/>
      <c r="K212" s="189"/>
      <c r="L212" s="189"/>
      <c r="M212" s="189"/>
      <c r="N212" s="189"/>
      <c r="O212" s="189"/>
      <c r="P212" s="189"/>
      <c r="Q212" s="181" t="s">
        <v>4368</v>
      </c>
    </row>
    <row r="213" spans="1:17" ht="18" customHeight="1">
      <c r="A213" s="180">
        <v>46246</v>
      </c>
      <c r="B213" s="181" t="str">
        <f t="shared" ca="1" si="12"/>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181"/>
    </row>
    <row r="214" spans="1:17" ht="18" customHeight="1">
      <c r="A214" s="180">
        <v>46246</v>
      </c>
      <c r="B214" s="181" t="str">
        <f t="shared" ca="1" si="12"/>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181"/>
    </row>
    <row r="215" spans="1:17" ht="18" customHeight="1">
      <c r="A215" s="180">
        <v>46246</v>
      </c>
      <c r="B215" s="181" t="str">
        <f t="shared" ca="1" si="12"/>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181"/>
    </row>
    <row r="216" spans="1:17" ht="18" customHeight="1">
      <c r="A216" s="180">
        <v>46246</v>
      </c>
      <c r="B216" s="181" t="str">
        <f t="shared" ca="1" si="12"/>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181"/>
    </row>
    <row r="217" spans="1:17" ht="18" customHeight="1">
      <c r="A217" s="180">
        <v>46246</v>
      </c>
      <c r="B217" s="181" t="str">
        <f t="shared" ca="1" si="12"/>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181"/>
    </row>
    <row r="218" spans="1:17" ht="18" customHeight="1">
      <c r="A218" s="180">
        <v>46246</v>
      </c>
      <c r="B218" s="181" t="str">
        <f t="shared" ca="1" si="12"/>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181" t="s">
        <v>4367</v>
      </c>
    </row>
    <row r="219" spans="1:17" ht="18" customHeight="1">
      <c r="A219" s="188">
        <v>46246</v>
      </c>
      <c r="B219" s="189" t="str">
        <f t="shared" ca="1" si="12"/>
        <v>Active</v>
      </c>
      <c r="C219" s="306" t="s">
        <v>1796</v>
      </c>
      <c r="D219" s="189" t="s">
        <v>959</v>
      </c>
      <c r="E219" s="190"/>
      <c r="F219" s="189"/>
      <c r="G219" s="189"/>
      <c r="H219" s="189"/>
      <c r="I219" s="189"/>
      <c r="J219" s="189"/>
      <c r="K219" s="189"/>
      <c r="L219" s="189"/>
      <c r="M219" s="189"/>
      <c r="N219" s="189"/>
      <c r="O219" s="189"/>
      <c r="P219" s="189"/>
      <c r="Q219" s="181" t="s">
        <v>4368</v>
      </c>
    </row>
    <row r="220" spans="1:17" ht="18" customHeight="1">
      <c r="A220" s="180">
        <v>46246</v>
      </c>
      <c r="B220" s="181" t="str">
        <f t="shared" ca="1" si="12"/>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181"/>
    </row>
    <row r="221" spans="1:17" ht="18" customHeight="1">
      <c r="A221" s="180">
        <v>46246</v>
      </c>
      <c r="B221" s="181" t="str">
        <f t="shared" ca="1" si="12"/>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181"/>
    </row>
    <row r="222" spans="1:17" ht="18" customHeight="1">
      <c r="A222" s="180">
        <v>46246</v>
      </c>
      <c r="B222" s="181" t="str">
        <f t="shared" ca="1" si="12"/>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181"/>
    </row>
    <row r="223" spans="1:17" ht="18" customHeight="1">
      <c r="A223" s="180">
        <v>46246</v>
      </c>
      <c r="B223" s="181" t="str">
        <f t="shared" ca="1" si="12"/>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181"/>
    </row>
    <row r="224" spans="1:17" ht="18" customHeight="1">
      <c r="A224" s="180">
        <v>46246</v>
      </c>
      <c r="B224" s="181" t="str">
        <f t="shared" ca="1" si="12"/>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181"/>
    </row>
    <row r="225" spans="1:17" ht="18" customHeight="1">
      <c r="A225" s="180">
        <v>46246</v>
      </c>
      <c r="B225" s="181" t="str">
        <f t="shared" ca="1" si="12"/>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181" t="s">
        <v>4367</v>
      </c>
    </row>
    <row r="226" spans="1:17" ht="18" customHeight="1">
      <c r="A226" s="180">
        <v>46246</v>
      </c>
      <c r="B226" s="181" t="str">
        <f t="shared" ca="1" si="12"/>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181" t="s">
        <v>4367</v>
      </c>
    </row>
    <row r="227" spans="1:17" ht="18" customHeight="1">
      <c r="A227" s="180">
        <v>46246</v>
      </c>
      <c r="B227" s="181" t="str">
        <f t="shared" ca="1" si="12"/>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181" t="s">
        <v>4367</v>
      </c>
    </row>
    <row r="228" spans="1:17" ht="18" customHeight="1">
      <c r="A228" s="180">
        <v>46246</v>
      </c>
      <c r="B228" s="181" t="str">
        <f t="shared" ca="1" si="12"/>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181" t="s">
        <v>4367</v>
      </c>
    </row>
    <row r="229" spans="1:17" ht="18" customHeight="1">
      <c r="A229" s="180">
        <v>46246</v>
      </c>
      <c r="B229" s="181" t="str">
        <f ca="1">IF($A229&lt;TODAY(),"Expired","Active")</f>
        <v>Active</v>
      </c>
      <c r="C229" s="181" t="s">
        <v>1187</v>
      </c>
      <c r="D229" s="181" t="s">
        <v>959</v>
      </c>
      <c r="E229" s="182"/>
      <c r="F229" s="181"/>
      <c r="G229" s="181"/>
      <c r="H229" s="181"/>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181" t="s">
        <v>4384</v>
      </c>
    </row>
    <row r="230" spans="1:17" ht="18" customHeight="1">
      <c r="A230" s="180">
        <v>46246</v>
      </c>
      <c r="B230" s="181" t="str">
        <f ca="1">IF($A230&lt;TODAY(),"Expired","Active")</f>
        <v>Active</v>
      </c>
      <c r="C230" s="181" t="s">
        <v>1180</v>
      </c>
      <c r="D230" s="181" t="s">
        <v>959</v>
      </c>
      <c r="E230" s="182"/>
      <c r="F230" s="181"/>
      <c r="G230" s="181"/>
      <c r="H230" s="181"/>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181"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181"/>
    </row>
    <row r="232" spans="1:17" ht="18" customHeight="1">
      <c r="A232" s="180">
        <v>46247</v>
      </c>
      <c r="B232" s="181" t="str">
        <f t="shared" ref="B232:B253" ca="1" si="13">IF($A232&lt;TODAY(),"Expired","Active")</f>
        <v>Active</v>
      </c>
      <c r="C232" s="307"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181" t="s">
        <v>4368</v>
      </c>
    </row>
    <row r="233" spans="1:17" ht="18" customHeight="1">
      <c r="A233" s="180">
        <v>46247</v>
      </c>
      <c r="B233" s="181" t="str">
        <f t="shared" ca="1" si="13"/>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181" t="s">
        <v>4367</v>
      </c>
    </row>
    <row r="234" spans="1:17" ht="18" customHeight="1">
      <c r="A234" s="180">
        <v>46247</v>
      </c>
      <c r="B234" s="181" t="str">
        <f t="shared" ca="1" si="13"/>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181" t="s">
        <v>4367</v>
      </c>
    </row>
    <row r="235" spans="1:17" ht="18" customHeight="1">
      <c r="A235" s="180">
        <v>46247</v>
      </c>
      <c r="B235" s="181" t="str">
        <f t="shared" ca="1" si="13"/>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181" t="s">
        <v>4367</v>
      </c>
    </row>
    <row r="236" spans="1:17" ht="18" customHeight="1">
      <c r="A236" s="180">
        <v>46247</v>
      </c>
      <c r="B236" s="181" t="str">
        <f t="shared" ca="1" si="13"/>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181" t="s">
        <v>4367</v>
      </c>
    </row>
    <row r="237" spans="1:17" ht="18" customHeight="1">
      <c r="A237" s="188">
        <v>46247</v>
      </c>
      <c r="B237" s="189" t="str">
        <f t="shared" ca="1" si="13"/>
        <v>Active</v>
      </c>
      <c r="C237" s="306" t="s">
        <v>1498</v>
      </c>
      <c r="D237" s="189" t="s">
        <v>959</v>
      </c>
      <c r="E237" s="190"/>
      <c r="F237" s="189"/>
      <c r="G237" s="189"/>
      <c r="H237" s="189"/>
      <c r="I237" s="189"/>
      <c r="J237" s="189"/>
      <c r="K237" s="189"/>
      <c r="L237" s="189"/>
      <c r="M237" s="189"/>
      <c r="N237" s="189"/>
      <c r="O237" s="189"/>
      <c r="P237" s="189"/>
      <c r="Q237" s="181" t="s">
        <v>4368</v>
      </c>
    </row>
    <row r="238" spans="1:17" ht="18" customHeight="1">
      <c r="A238" s="180">
        <v>46247</v>
      </c>
      <c r="B238" s="181" t="str">
        <f t="shared" ca="1" si="13"/>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181"/>
    </row>
    <row r="239" spans="1:17" ht="18" customHeight="1">
      <c r="A239" s="180">
        <v>46247</v>
      </c>
      <c r="B239" s="181" t="str">
        <f t="shared" ca="1" si="13"/>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181"/>
    </row>
    <row r="240" spans="1:17" ht="18" customHeight="1">
      <c r="A240" s="180">
        <v>46247</v>
      </c>
      <c r="B240" s="181" t="str">
        <f t="shared" ca="1" si="13"/>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181"/>
    </row>
    <row r="241" spans="1:17" ht="18" customHeight="1">
      <c r="A241" s="180">
        <v>46247</v>
      </c>
      <c r="B241" s="181" t="str">
        <f t="shared" ca="1" si="13"/>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181"/>
    </row>
    <row r="242" spans="1:17" ht="18" customHeight="1">
      <c r="A242" s="180">
        <v>46247</v>
      </c>
      <c r="B242" s="181" t="str">
        <f t="shared" ca="1" si="13"/>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181"/>
    </row>
    <row r="243" spans="1:17" ht="18" customHeight="1">
      <c r="A243" s="180">
        <v>46247</v>
      </c>
      <c r="B243" s="181" t="str">
        <f t="shared" ca="1" si="13"/>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181"/>
    </row>
    <row r="244" spans="1:17" ht="18" customHeight="1">
      <c r="A244" s="180">
        <v>46247</v>
      </c>
      <c r="B244" s="181" t="str">
        <f t="shared" ca="1" si="13"/>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181"/>
    </row>
    <row r="245" spans="1:17" ht="18" customHeight="1">
      <c r="A245" s="180">
        <v>46247</v>
      </c>
      <c r="B245" s="181" t="str">
        <f t="shared" ca="1" si="13"/>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181"/>
    </row>
    <row r="246" spans="1:17" ht="18" customHeight="1">
      <c r="A246" s="180">
        <v>46247</v>
      </c>
      <c r="B246" s="181" t="str">
        <f t="shared" ca="1" si="13"/>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181"/>
    </row>
    <row r="247" spans="1:17" ht="18" customHeight="1">
      <c r="A247" s="180">
        <v>46247</v>
      </c>
      <c r="B247" s="181" t="str">
        <f t="shared" ca="1" si="13"/>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181"/>
    </row>
    <row r="248" spans="1:17" ht="18" customHeight="1">
      <c r="A248" s="180">
        <v>46247</v>
      </c>
      <c r="B248" s="181" t="str">
        <f t="shared" ca="1" si="13"/>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181"/>
    </row>
    <row r="249" spans="1:17" ht="18" customHeight="1">
      <c r="A249" s="180">
        <v>46247</v>
      </c>
      <c r="B249" s="181" t="str">
        <f t="shared" ca="1" si="13"/>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181"/>
    </row>
    <row r="250" spans="1:17" ht="18" customHeight="1">
      <c r="A250" s="180">
        <v>46247</v>
      </c>
      <c r="B250" s="181" t="str">
        <f t="shared" ca="1" si="13"/>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181"/>
    </row>
    <row r="251" spans="1:17" ht="18" customHeight="1">
      <c r="A251" s="180">
        <v>46247</v>
      </c>
      <c r="B251" s="181" t="str">
        <f t="shared" ca="1" si="13"/>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181" t="s">
        <v>4367</v>
      </c>
    </row>
    <row r="252" spans="1:17" ht="18" customHeight="1">
      <c r="A252" s="180">
        <v>46247</v>
      </c>
      <c r="B252" s="181" t="str">
        <f t="shared" ca="1" si="13"/>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181" t="s">
        <v>4367</v>
      </c>
    </row>
    <row r="253" spans="1:17" ht="18" customHeight="1">
      <c r="A253" s="180">
        <v>46247</v>
      </c>
      <c r="B253" s="181" t="str">
        <f t="shared" ca="1" si="13"/>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181" t="s">
        <v>4367</v>
      </c>
    </row>
    <row r="254" spans="1:17" ht="18" customHeight="1">
      <c r="A254" s="180">
        <v>46247</v>
      </c>
      <c r="B254" s="181" t="str">
        <f ca="1">IF($A254&lt;TODAY(),"Expired","Active")</f>
        <v>Active</v>
      </c>
      <c r="C254" s="181" t="s">
        <v>390</v>
      </c>
      <c r="D254" s="181" t="s">
        <v>959</v>
      </c>
      <c r="E254" s="182"/>
      <c r="F254" s="181"/>
      <c r="G254" s="181"/>
      <c r="H254" s="181"/>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181" t="s">
        <v>4384</v>
      </c>
    </row>
    <row r="255" spans="1:17" ht="18" customHeight="1">
      <c r="A255" s="180">
        <v>46247</v>
      </c>
      <c r="B255" s="181" t="str">
        <f ca="1">IF($A255&lt;TODAY(),"Expired","Active")</f>
        <v>Active</v>
      </c>
      <c r="C255" s="181" t="s">
        <v>1184</v>
      </c>
      <c r="D255" s="181" t="s">
        <v>959</v>
      </c>
      <c r="E255" s="182"/>
      <c r="F255" s="181"/>
      <c r="G255" s="181"/>
      <c r="H255" s="181"/>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181"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181"/>
    </row>
    <row r="257" spans="1:17" ht="18" customHeight="1">
      <c r="A257" s="180">
        <v>46248</v>
      </c>
      <c r="B257" s="181" t="str">
        <f t="shared" ref="B257:B263" ca="1" si="14">IF($A257&lt;TODAY(),"Expired","Active")</f>
        <v>Active</v>
      </c>
      <c r="C257" s="307"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181" t="s">
        <v>4374</v>
      </c>
    </row>
    <row r="258" spans="1:17" ht="18" customHeight="1">
      <c r="A258" s="180">
        <v>46248</v>
      </c>
      <c r="B258" s="181" t="str">
        <f t="shared" ca="1" si="14"/>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181" t="s">
        <v>4367</v>
      </c>
    </row>
    <row r="259" spans="1:17" ht="18" customHeight="1">
      <c r="A259" s="180">
        <v>46248</v>
      </c>
      <c r="B259" s="181" t="str">
        <f t="shared" ca="1" si="14"/>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181" t="s">
        <v>4367</v>
      </c>
    </row>
    <row r="260" spans="1:17" ht="18" customHeight="1">
      <c r="A260" s="180">
        <v>46248</v>
      </c>
      <c r="B260" s="181" t="str">
        <f t="shared" ca="1" si="14"/>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181" t="s">
        <v>4367</v>
      </c>
    </row>
    <row r="261" spans="1:17" ht="18" customHeight="1">
      <c r="A261" s="180">
        <v>46248</v>
      </c>
      <c r="B261" s="181" t="str">
        <f t="shared" ca="1" si="14"/>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181" t="s">
        <v>4367</v>
      </c>
    </row>
    <row r="262" spans="1:17" ht="18" customHeight="1">
      <c r="A262" s="180">
        <v>46248</v>
      </c>
      <c r="B262" s="181" t="str">
        <f t="shared" ca="1" si="14"/>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181" t="s">
        <v>4367</v>
      </c>
    </row>
    <row r="263" spans="1:17" ht="18" customHeight="1">
      <c r="A263" s="180">
        <v>46248</v>
      </c>
      <c r="B263" s="181" t="str">
        <f t="shared" ca="1" si="14"/>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181" t="s">
        <v>4367</v>
      </c>
    </row>
    <row r="264" spans="1:17" ht="18" customHeight="1">
      <c r="A264" s="180">
        <v>46248</v>
      </c>
      <c r="B264" s="181" t="str">
        <f ca="1">IF($A264&lt;TODAY(),"Expired","Active")</f>
        <v>Active</v>
      </c>
      <c r="C264" s="181" t="s">
        <v>1391</v>
      </c>
      <c r="D264" s="181" t="s">
        <v>959</v>
      </c>
      <c r="E264" s="182"/>
      <c r="F264" s="181"/>
      <c r="G264" s="181"/>
      <c r="H264" s="181"/>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181" t="s">
        <v>4384</v>
      </c>
    </row>
    <row r="265" spans="1:17" ht="18" customHeight="1">
      <c r="A265" s="180">
        <v>46248</v>
      </c>
      <c r="B265" s="181" t="str">
        <f ca="1">IF($A265&lt;TODAY(),"Expired","Active")</f>
        <v>Active</v>
      </c>
      <c r="C265" s="181" t="s">
        <v>1187</v>
      </c>
      <c r="D265" s="181" t="s">
        <v>959</v>
      </c>
      <c r="E265" s="182"/>
      <c r="F265" s="181"/>
      <c r="G265" s="181"/>
      <c r="H265" s="181"/>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181"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181"/>
    </row>
    <row r="267" spans="1:17" ht="18" customHeight="1">
      <c r="A267" s="188">
        <v>46251</v>
      </c>
      <c r="B267" s="189" t="str">
        <f t="shared" ref="B267:B294" ca="1" si="15">IF($A267&lt;TODAY(),"Expired","Active")</f>
        <v>Active</v>
      </c>
      <c r="C267" s="306" t="s">
        <v>1525</v>
      </c>
      <c r="D267" s="189" t="s">
        <v>1857</v>
      </c>
      <c r="E267" s="190"/>
      <c r="F267" s="189"/>
      <c r="G267" s="189"/>
      <c r="H267" s="189"/>
      <c r="I267" s="189"/>
      <c r="J267" s="189"/>
      <c r="K267" s="189"/>
      <c r="L267" s="189"/>
      <c r="M267" s="189"/>
      <c r="N267" s="189"/>
      <c r="O267" s="189"/>
      <c r="P267" s="189"/>
      <c r="Q267" s="181" t="s">
        <v>4368</v>
      </c>
    </row>
    <row r="268" spans="1:17" ht="18" customHeight="1">
      <c r="A268" s="180">
        <v>46251</v>
      </c>
      <c r="B268" s="181" t="str">
        <f t="shared" ca="1" si="15"/>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181"/>
    </row>
    <row r="269" spans="1:17" ht="18" customHeight="1">
      <c r="A269" s="180">
        <v>46251</v>
      </c>
      <c r="B269" s="181" t="str">
        <f t="shared" ca="1" si="15"/>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181"/>
    </row>
    <row r="270" spans="1:17" ht="18" customHeight="1">
      <c r="A270" s="180">
        <v>46251</v>
      </c>
      <c r="B270" s="181" t="str">
        <f t="shared" ca="1" si="15"/>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181"/>
    </row>
    <row r="271" spans="1:17" ht="18" customHeight="1">
      <c r="A271" s="180">
        <v>46251</v>
      </c>
      <c r="B271" s="181" t="str">
        <f t="shared" ca="1" si="15"/>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181"/>
    </row>
    <row r="272" spans="1:17" ht="18" customHeight="1">
      <c r="A272" s="180">
        <v>46251</v>
      </c>
      <c r="B272" s="181" t="str">
        <f t="shared" ca="1" si="15"/>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181"/>
    </row>
    <row r="273" spans="1:17" ht="18" customHeight="1">
      <c r="A273" s="180">
        <v>46251</v>
      </c>
      <c r="B273" s="181" t="str">
        <f t="shared" ca="1" si="15"/>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181"/>
    </row>
    <row r="274" spans="1:17" ht="18" customHeight="1">
      <c r="A274" s="180">
        <v>46251</v>
      </c>
      <c r="B274" s="181" t="str">
        <f t="shared" ca="1" si="15"/>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181"/>
    </row>
    <row r="275" spans="1:17" ht="18" customHeight="1">
      <c r="A275" s="180">
        <v>46251</v>
      </c>
      <c r="B275" s="181" t="str">
        <f t="shared" ca="1" si="15"/>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181"/>
    </row>
    <row r="276" spans="1:17" ht="18" customHeight="1">
      <c r="A276" s="188">
        <v>46251</v>
      </c>
      <c r="B276" s="189" t="str">
        <f t="shared" ca="1" si="15"/>
        <v>Active</v>
      </c>
      <c r="C276" s="306" t="s">
        <v>867</v>
      </c>
      <c r="D276" s="189" t="s">
        <v>1857</v>
      </c>
      <c r="E276" s="190"/>
      <c r="F276" s="189"/>
      <c r="G276" s="189"/>
      <c r="H276" s="189"/>
      <c r="I276" s="189"/>
      <c r="J276" s="189"/>
      <c r="K276" s="189"/>
      <c r="L276" s="189"/>
      <c r="M276" s="189"/>
      <c r="N276" s="189"/>
      <c r="O276" s="189"/>
      <c r="P276" s="189"/>
      <c r="Q276" s="181" t="s">
        <v>4368</v>
      </c>
    </row>
    <row r="277" spans="1:17" ht="18" customHeight="1">
      <c r="A277" s="180">
        <v>46251</v>
      </c>
      <c r="B277" s="181" t="str">
        <f t="shared" ca="1" si="15"/>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181"/>
    </row>
    <row r="278" spans="1:17" ht="18" customHeight="1">
      <c r="A278" s="180">
        <v>46251</v>
      </c>
      <c r="B278" s="181" t="str">
        <f t="shared" ca="1" si="15"/>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181"/>
    </row>
    <row r="279" spans="1:17" ht="18" customHeight="1">
      <c r="A279" s="180">
        <v>46251</v>
      </c>
      <c r="B279" s="181" t="str">
        <f t="shared" ca="1" si="15"/>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181"/>
    </row>
    <row r="280" spans="1:17" ht="18" customHeight="1">
      <c r="A280" s="180">
        <v>46251</v>
      </c>
      <c r="B280" s="181" t="str">
        <f t="shared" ca="1" si="15"/>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181"/>
    </row>
    <row r="281" spans="1:17" ht="18" customHeight="1">
      <c r="A281" s="180">
        <v>46251</v>
      </c>
      <c r="B281" s="181" t="str">
        <f t="shared" ca="1" si="15"/>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181"/>
    </row>
    <row r="282" spans="1:17" ht="18" customHeight="1">
      <c r="A282" s="180">
        <v>46251</v>
      </c>
      <c r="B282" s="181" t="str">
        <f t="shared" ca="1" si="15"/>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181"/>
    </row>
    <row r="283" spans="1:17" ht="18" customHeight="1">
      <c r="A283" s="180">
        <v>46251</v>
      </c>
      <c r="B283" s="181" t="str">
        <f t="shared" ca="1" si="15"/>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181"/>
    </row>
    <row r="284" spans="1:17" ht="18" customHeight="1">
      <c r="A284" s="180">
        <v>46251</v>
      </c>
      <c r="B284" s="181" t="str">
        <f t="shared" ca="1" si="15"/>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181"/>
    </row>
    <row r="285" spans="1:17" ht="18" customHeight="1">
      <c r="A285" s="180">
        <v>46251</v>
      </c>
      <c r="B285" s="181" t="str">
        <f t="shared" ca="1" si="15"/>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181"/>
    </row>
    <row r="286" spans="1:17" ht="18" customHeight="1">
      <c r="A286" s="180">
        <v>46251</v>
      </c>
      <c r="B286" s="181" t="str">
        <f t="shared" ca="1" si="15"/>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181"/>
    </row>
    <row r="287" spans="1:17" ht="18" customHeight="1">
      <c r="A287" s="180">
        <v>46251</v>
      </c>
      <c r="B287" s="181" t="str">
        <f t="shared" ca="1" si="15"/>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181"/>
    </row>
    <row r="288" spans="1:17" ht="18" customHeight="1">
      <c r="A288" s="180">
        <v>46251</v>
      </c>
      <c r="B288" s="181" t="str">
        <f t="shared" ca="1" si="15"/>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181" t="s">
        <v>4367</v>
      </c>
    </row>
    <row r="289" spans="1:17" ht="18" customHeight="1">
      <c r="A289" s="180">
        <v>46251</v>
      </c>
      <c r="B289" s="181" t="str">
        <f t="shared" ca="1" si="15"/>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181" t="s">
        <v>4367</v>
      </c>
    </row>
    <row r="290" spans="1:17" ht="18" customHeight="1">
      <c r="A290" s="180">
        <v>46251</v>
      </c>
      <c r="B290" s="181" t="str">
        <f t="shared" ca="1" si="15"/>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181" t="s">
        <v>4367</v>
      </c>
    </row>
    <row r="291" spans="1:17" ht="18" customHeight="1">
      <c r="A291" s="180">
        <v>46251</v>
      </c>
      <c r="B291" s="181" t="str">
        <f t="shared" ca="1" si="15"/>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181" t="s">
        <v>4367</v>
      </c>
    </row>
    <row r="292" spans="1:17" ht="18" customHeight="1">
      <c r="A292" s="180">
        <v>46251</v>
      </c>
      <c r="B292" s="181" t="str">
        <f t="shared" ca="1" si="15"/>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181" t="s">
        <v>4367</v>
      </c>
    </row>
    <row r="293" spans="1:17" ht="18" customHeight="1">
      <c r="A293" s="180">
        <v>46251</v>
      </c>
      <c r="B293" s="181" t="str">
        <f t="shared" ca="1" si="15"/>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181" t="s">
        <v>4367</v>
      </c>
    </row>
    <row r="294" spans="1:17" ht="18" customHeight="1">
      <c r="A294" s="180">
        <v>46251</v>
      </c>
      <c r="B294" s="181" t="str">
        <f t="shared" ca="1" si="15"/>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181"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181"/>
    </row>
    <row r="296" spans="1:17" ht="18" customHeight="1">
      <c r="A296" s="180">
        <v>46252</v>
      </c>
      <c r="B296" s="181" t="str">
        <f t="shared" ref="B296:B318" ca="1" si="16">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181" t="s">
        <v>4367</v>
      </c>
    </row>
    <row r="297" spans="1:17" ht="18" customHeight="1" collapsed="1">
      <c r="A297" s="180">
        <v>46252</v>
      </c>
      <c r="B297" s="181" t="str">
        <f t="shared" ca="1" si="16"/>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181" t="s">
        <v>4367</v>
      </c>
    </row>
    <row r="298" spans="1:17" ht="18" customHeight="1">
      <c r="A298" s="180">
        <v>46252</v>
      </c>
      <c r="B298" s="181" t="str">
        <f t="shared" ca="1" si="16"/>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181" t="s">
        <v>4367</v>
      </c>
    </row>
    <row r="299" spans="1:17" ht="18" customHeight="1">
      <c r="A299" s="188">
        <v>46252</v>
      </c>
      <c r="B299" s="189" t="str">
        <f t="shared" ca="1" si="16"/>
        <v>Active</v>
      </c>
      <c r="C299" s="306" t="s">
        <v>1702</v>
      </c>
      <c r="D299" s="189" t="s">
        <v>1875</v>
      </c>
      <c r="E299" s="190"/>
      <c r="F299" s="189"/>
      <c r="G299" s="189"/>
      <c r="H299" s="189"/>
      <c r="I299" s="189"/>
      <c r="J299" s="189"/>
      <c r="K299" s="189"/>
      <c r="L299" s="189"/>
      <c r="M299" s="189"/>
      <c r="N299" s="189"/>
      <c r="O299" s="189"/>
      <c r="P299" s="189"/>
      <c r="Q299" s="181" t="s">
        <v>4368</v>
      </c>
    </row>
    <row r="300" spans="1:17" ht="18" customHeight="1">
      <c r="A300" s="180">
        <v>46252</v>
      </c>
      <c r="B300" s="181" t="str">
        <f t="shared" ca="1" si="16"/>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181"/>
    </row>
    <row r="301" spans="1:17" ht="18" customHeight="1">
      <c r="A301" s="180">
        <v>46252</v>
      </c>
      <c r="B301" s="181" t="str">
        <f t="shared" ca="1" si="16"/>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181"/>
    </row>
    <row r="302" spans="1:17" ht="18" customHeight="1">
      <c r="A302" s="180">
        <v>46252</v>
      </c>
      <c r="B302" s="181" t="str">
        <f t="shared" ca="1" si="16"/>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181"/>
    </row>
    <row r="303" spans="1:17" ht="18" customHeight="1">
      <c r="A303" s="180">
        <v>46252</v>
      </c>
      <c r="B303" s="181" t="str">
        <f t="shared" ca="1" si="16"/>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181"/>
    </row>
    <row r="304" spans="1:17" ht="18" customHeight="1">
      <c r="A304" s="180">
        <v>46252</v>
      </c>
      <c r="B304" s="181" t="str">
        <f t="shared" ca="1" si="16"/>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181"/>
    </row>
    <row r="305" spans="1:17" ht="18" customHeight="1">
      <c r="A305" s="180">
        <v>46252</v>
      </c>
      <c r="B305" s="181" t="str">
        <f t="shared" ca="1" si="16"/>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181"/>
    </row>
    <row r="306" spans="1:17" ht="18" customHeight="1">
      <c r="A306" s="180">
        <v>46252</v>
      </c>
      <c r="B306" s="181" t="str">
        <f t="shared" ca="1" si="16"/>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181"/>
    </row>
    <row r="307" spans="1:17" ht="18" customHeight="1">
      <c r="A307" s="180">
        <v>46252</v>
      </c>
      <c r="B307" s="181" t="str">
        <f t="shared" ca="1" si="16"/>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181"/>
    </row>
    <row r="308" spans="1:17" ht="18" customHeight="1">
      <c r="A308" s="180">
        <v>46252</v>
      </c>
      <c r="B308" s="181" t="str">
        <f t="shared" ca="1" si="16"/>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181"/>
    </row>
    <row r="309" spans="1:17" ht="18" customHeight="1">
      <c r="A309" s="180">
        <v>46252</v>
      </c>
      <c r="B309" s="181" t="str">
        <f t="shared" ca="1" si="16"/>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181"/>
    </row>
    <row r="310" spans="1:17" ht="18" customHeight="1">
      <c r="A310" s="180">
        <v>46252</v>
      </c>
      <c r="B310" s="181" t="str">
        <f t="shared" ca="1" si="16"/>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181"/>
    </row>
    <row r="311" spans="1:17" ht="18" customHeight="1">
      <c r="A311" s="180">
        <v>46252</v>
      </c>
      <c r="B311" s="181" t="str">
        <f t="shared" ca="1" si="16"/>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181" t="s">
        <v>4367</v>
      </c>
    </row>
    <row r="312" spans="1:17" ht="18" customHeight="1">
      <c r="A312" s="180">
        <v>46252</v>
      </c>
      <c r="B312" s="181" t="str">
        <f t="shared" ca="1" si="16"/>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181" t="s">
        <v>4367</v>
      </c>
    </row>
    <row r="313" spans="1:17" ht="18" customHeight="1">
      <c r="A313" s="180">
        <v>46252</v>
      </c>
      <c r="B313" s="181" t="str">
        <f t="shared" ca="1" si="16"/>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181" t="s">
        <v>4367</v>
      </c>
    </row>
    <row r="314" spans="1:17" ht="18" customHeight="1">
      <c r="A314" s="180">
        <v>46252</v>
      </c>
      <c r="B314" s="181" t="str">
        <f t="shared" ca="1" si="16"/>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181" t="s">
        <v>4367</v>
      </c>
    </row>
    <row r="315" spans="1:17" ht="18" customHeight="1">
      <c r="A315" s="180">
        <v>46252</v>
      </c>
      <c r="B315" s="181" t="str">
        <f t="shared" ca="1" si="16"/>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181" t="s">
        <v>4367</v>
      </c>
    </row>
    <row r="316" spans="1:17" ht="18" customHeight="1">
      <c r="A316" s="180">
        <v>46252</v>
      </c>
      <c r="B316" s="181" t="str">
        <f t="shared" ca="1" si="16"/>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181" t="s">
        <v>4367</v>
      </c>
    </row>
    <row r="317" spans="1:17" ht="18" customHeight="1">
      <c r="A317" s="180">
        <v>46252</v>
      </c>
      <c r="B317" s="181" t="str">
        <f t="shared" ca="1" si="16"/>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181" t="s">
        <v>4367</v>
      </c>
    </row>
    <row r="318" spans="1:17" ht="18" customHeight="1">
      <c r="A318" s="180">
        <v>46252</v>
      </c>
      <c r="B318" s="181" t="str">
        <f t="shared" ca="1" si="16"/>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181" t="s">
        <v>4367</v>
      </c>
    </row>
    <row r="319" spans="1:17" ht="18" customHeight="1">
      <c r="A319" s="180">
        <v>46252</v>
      </c>
      <c r="B319" s="181" t="str">
        <f ca="1">IF($A319&lt;TODAY(),"Expired","Active")</f>
        <v>Active</v>
      </c>
      <c r="C319" s="181" t="s">
        <v>1076</v>
      </c>
      <c r="D319" s="181" t="s">
        <v>1875</v>
      </c>
      <c r="E319" s="182"/>
      <c r="F319" s="181"/>
      <c r="G319" s="181"/>
      <c r="H319" s="181"/>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181" t="s">
        <v>4384</v>
      </c>
    </row>
    <row r="320" spans="1:17" ht="18" customHeight="1">
      <c r="A320" s="180">
        <v>46252</v>
      </c>
      <c r="B320" s="181" t="str">
        <f ca="1">IF($A320&lt;TODAY(),"Expired","Active")</f>
        <v>Active</v>
      </c>
      <c r="C320" s="181" t="s">
        <v>257</v>
      </c>
      <c r="D320" s="181" t="s">
        <v>1875</v>
      </c>
      <c r="E320" s="182"/>
      <c r="F320" s="181"/>
      <c r="G320" s="181"/>
      <c r="H320" s="181"/>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181" t="s">
        <v>4384</v>
      </c>
    </row>
    <row r="321" spans="1:17" ht="18" customHeight="1">
      <c r="A321" s="180">
        <v>46252</v>
      </c>
      <c r="B321" s="181" t="str">
        <f ca="1">IF($A321&lt;TODAY(),"Expired","Active")</f>
        <v>Active</v>
      </c>
      <c r="C321" s="181" t="s">
        <v>1202</v>
      </c>
      <c r="D321" s="181" t="s">
        <v>959</v>
      </c>
      <c r="E321" s="182"/>
      <c r="F321" s="181"/>
      <c r="G321" s="181"/>
      <c r="H321" s="181"/>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181" t="s">
        <v>4384</v>
      </c>
    </row>
    <row r="322" spans="1:17" ht="18" customHeight="1">
      <c r="A322" s="180">
        <v>46252</v>
      </c>
      <c r="B322" s="181" t="str">
        <f ca="1">IF($A322&lt;TODAY(),"Expired","Active")</f>
        <v>Active</v>
      </c>
      <c r="C322" s="181" t="s">
        <v>1612</v>
      </c>
      <c r="D322" s="181" t="s">
        <v>959</v>
      </c>
      <c r="E322" s="182"/>
      <c r="F322" s="181"/>
      <c r="G322" s="181"/>
      <c r="H322" s="181"/>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181"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181"/>
    </row>
    <row r="324" spans="1:17" ht="18" customHeight="1">
      <c r="A324" s="188">
        <v>46253</v>
      </c>
      <c r="B324" s="189" t="str">
        <f t="shared" ref="B324:B348" ca="1" si="17">IF($A324&lt;TODAY(),"Expired","Active")</f>
        <v>Active</v>
      </c>
      <c r="C324" s="306" t="s">
        <v>1536</v>
      </c>
      <c r="D324" s="189" t="s">
        <v>1857</v>
      </c>
      <c r="E324" s="190"/>
      <c r="F324" s="189"/>
      <c r="G324" s="189"/>
      <c r="H324" s="189"/>
      <c r="I324" s="189"/>
      <c r="J324" s="189"/>
      <c r="K324" s="189"/>
      <c r="L324" s="189"/>
      <c r="M324" s="189"/>
      <c r="N324" s="189"/>
      <c r="O324" s="189"/>
      <c r="P324" s="189"/>
      <c r="Q324" s="181" t="s">
        <v>4368</v>
      </c>
    </row>
    <row r="325" spans="1:17" ht="18" customHeight="1">
      <c r="A325" s="180">
        <v>46253</v>
      </c>
      <c r="B325" s="181" t="str">
        <f t="shared" ca="1" si="17"/>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181"/>
    </row>
    <row r="326" spans="1:17" ht="18" customHeight="1">
      <c r="A326" s="180">
        <v>46253</v>
      </c>
      <c r="B326" s="181" t="str">
        <f t="shared" ca="1" si="17"/>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181"/>
    </row>
    <row r="327" spans="1:17" ht="18" customHeight="1">
      <c r="A327" s="180">
        <v>46253</v>
      </c>
      <c r="B327" s="181" t="str">
        <f t="shared" ca="1" si="17"/>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181"/>
    </row>
    <row r="328" spans="1:17" ht="18" customHeight="1">
      <c r="A328" s="180">
        <v>46253</v>
      </c>
      <c r="B328" s="181" t="str">
        <f t="shared" ca="1" si="17"/>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181"/>
    </row>
    <row r="329" spans="1:17" ht="18" customHeight="1">
      <c r="A329" s="180">
        <v>46253</v>
      </c>
      <c r="B329" s="181" t="str">
        <f t="shared" ca="1" si="17"/>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181"/>
    </row>
    <row r="330" spans="1:17" ht="18" customHeight="1">
      <c r="A330" s="180">
        <v>46253</v>
      </c>
      <c r="B330" s="181" t="str">
        <f t="shared" ca="1" si="17"/>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181"/>
    </row>
    <row r="331" spans="1:17" ht="18" customHeight="1">
      <c r="A331" s="180">
        <v>46253</v>
      </c>
      <c r="B331" s="181" t="str">
        <f t="shared" ca="1" si="17"/>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181"/>
    </row>
    <row r="332" spans="1:17">
      <c r="A332" s="180">
        <v>46253</v>
      </c>
      <c r="B332" s="181" t="str">
        <f t="shared" ca="1" si="17"/>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181"/>
    </row>
    <row r="333" spans="1:17">
      <c r="A333" s="180">
        <v>46253</v>
      </c>
      <c r="B333" s="181" t="str">
        <f t="shared" ca="1" si="17"/>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181"/>
    </row>
    <row r="334" spans="1:17">
      <c r="A334" s="180">
        <v>46253</v>
      </c>
      <c r="B334" s="181" t="str">
        <f t="shared" ca="1" si="17"/>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181"/>
    </row>
    <row r="335" spans="1:17">
      <c r="A335" s="180">
        <v>46253</v>
      </c>
      <c r="B335" s="181" t="str">
        <f t="shared" ca="1" si="17"/>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181"/>
    </row>
    <row r="336" spans="1:17">
      <c r="A336" s="180">
        <v>46253</v>
      </c>
      <c r="B336" s="181" t="str">
        <f t="shared" ca="1" si="17"/>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181"/>
    </row>
    <row r="337" spans="1:17">
      <c r="A337" s="180">
        <v>46253</v>
      </c>
      <c r="B337" s="181" t="str">
        <f t="shared" ca="1" si="17"/>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181"/>
    </row>
    <row r="338" spans="1:17">
      <c r="A338" s="180">
        <v>46253</v>
      </c>
      <c r="B338" s="181" t="str">
        <f t="shared" ca="1" si="17"/>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181" t="s">
        <v>4367</v>
      </c>
    </row>
    <row r="339" spans="1:17">
      <c r="A339" s="180">
        <v>46253</v>
      </c>
      <c r="B339" s="181" t="str">
        <f t="shared" ca="1" si="17"/>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181" t="s">
        <v>4367</v>
      </c>
    </row>
    <row r="340" spans="1:17">
      <c r="A340" s="180">
        <v>46253</v>
      </c>
      <c r="B340" s="181" t="str">
        <f t="shared" ca="1" si="17"/>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181" t="s">
        <v>4367</v>
      </c>
    </row>
    <row r="341" spans="1:17">
      <c r="A341" s="180">
        <v>46253</v>
      </c>
      <c r="B341" s="181" t="str">
        <f t="shared" ca="1" si="17"/>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181" t="s">
        <v>4367</v>
      </c>
    </row>
    <row r="342" spans="1:17">
      <c r="A342" s="180">
        <v>46253</v>
      </c>
      <c r="B342" s="181" t="str">
        <f t="shared" ca="1" si="17"/>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181" t="s">
        <v>4367</v>
      </c>
    </row>
    <row r="343" spans="1:17">
      <c r="A343" s="180">
        <v>46253</v>
      </c>
      <c r="B343" s="181" t="str">
        <f t="shared" ca="1" si="17"/>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181" t="s">
        <v>4367</v>
      </c>
    </row>
    <row r="344" spans="1:17">
      <c r="A344" s="180">
        <v>46253</v>
      </c>
      <c r="B344" s="181" t="str">
        <f t="shared" ca="1" si="17"/>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181" t="s">
        <v>4367</v>
      </c>
    </row>
    <row r="345" spans="1:17">
      <c r="A345" s="180">
        <v>46253</v>
      </c>
      <c r="B345" s="181" t="str">
        <f t="shared" ca="1" si="17"/>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181" t="s">
        <v>4367</v>
      </c>
    </row>
    <row r="346" spans="1:17">
      <c r="A346" s="180">
        <v>46253</v>
      </c>
      <c r="B346" s="181" t="str">
        <f t="shared" ca="1" si="17"/>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181" t="s">
        <v>4367</v>
      </c>
    </row>
    <row r="347" spans="1:17" ht="18" customHeight="1">
      <c r="A347" s="180">
        <v>46253</v>
      </c>
      <c r="B347" s="181" t="str">
        <f t="shared" ca="1" si="17"/>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181" t="s">
        <v>4367</v>
      </c>
    </row>
    <row r="348" spans="1:17">
      <c r="A348" s="180">
        <v>46253</v>
      </c>
      <c r="B348" s="181" t="str">
        <f t="shared" ca="1" si="17"/>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181" t="s">
        <v>4367</v>
      </c>
    </row>
    <row r="349" spans="1:17">
      <c r="A349" s="180">
        <v>46253</v>
      </c>
      <c r="B349" s="181" t="str">
        <f ca="1">IF($A349&lt;TODAY(),"Expired","Active")</f>
        <v>Active</v>
      </c>
      <c r="C349" s="181" t="s">
        <v>1431</v>
      </c>
      <c r="D349" s="181" t="s">
        <v>1875</v>
      </c>
      <c r="E349" s="182"/>
      <c r="F349" s="181"/>
      <c r="G349" s="181"/>
      <c r="H349" s="181"/>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181" t="s">
        <v>4384</v>
      </c>
    </row>
    <row r="350" spans="1:17">
      <c r="A350" s="180">
        <v>46253</v>
      </c>
      <c r="B350" s="181" t="str">
        <f ca="1">IF($A350&lt;TODAY(),"Expired","Active")</f>
        <v>Active</v>
      </c>
      <c r="C350" s="181" t="s">
        <v>1404</v>
      </c>
      <c r="D350" s="181" t="s">
        <v>959</v>
      </c>
      <c r="E350" s="182"/>
      <c r="F350" s="181"/>
      <c r="G350" s="181"/>
      <c r="H350" s="181"/>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181" t="s">
        <v>4384</v>
      </c>
    </row>
    <row r="351" spans="1:17">
      <c r="A351" s="185">
        <v>46254</v>
      </c>
      <c r="B351" s="186"/>
      <c r="C351" s="186" t="s">
        <v>4365</v>
      </c>
      <c r="D351" s="186"/>
      <c r="E351" s="187"/>
      <c r="F351" s="186"/>
      <c r="G351" s="186"/>
      <c r="H351" s="186"/>
      <c r="I351" s="186"/>
      <c r="J351" s="186"/>
      <c r="K351" s="186"/>
      <c r="L351" s="186"/>
      <c r="M351" s="186"/>
      <c r="N351" s="186"/>
      <c r="O351" s="186"/>
      <c r="P351" s="186"/>
      <c r="Q351" s="181"/>
    </row>
    <row r="352" spans="1:17">
      <c r="A352" s="188">
        <v>46254</v>
      </c>
      <c r="B352" s="189" t="str">
        <f t="shared" ref="B352:B383" ca="1" si="18">IF($A352&lt;TODAY(),"Expired","Active")</f>
        <v>Active</v>
      </c>
      <c r="C352" s="306" t="s">
        <v>1542</v>
      </c>
      <c r="D352" s="189" t="s">
        <v>1857</v>
      </c>
      <c r="E352" s="190"/>
      <c r="F352" s="189"/>
      <c r="G352" s="189"/>
      <c r="H352" s="189"/>
      <c r="I352" s="189"/>
      <c r="J352" s="189"/>
      <c r="K352" s="189"/>
      <c r="L352" s="189"/>
      <c r="M352" s="189"/>
      <c r="N352" s="189"/>
      <c r="O352" s="189"/>
      <c r="P352" s="189"/>
      <c r="Q352" s="181" t="s">
        <v>4368</v>
      </c>
    </row>
    <row r="353" spans="1:17" ht="18" customHeight="1">
      <c r="A353" s="180">
        <v>46254</v>
      </c>
      <c r="B353" s="181" t="str">
        <f t="shared" ca="1" si="18"/>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181"/>
    </row>
    <row r="354" spans="1:17">
      <c r="A354" s="180">
        <v>46254</v>
      </c>
      <c r="B354" s="181" t="str">
        <f t="shared" ca="1" si="18"/>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181"/>
    </row>
    <row r="355" spans="1:17">
      <c r="A355" s="180">
        <v>46254</v>
      </c>
      <c r="B355" s="181" t="str">
        <f t="shared" ca="1" si="18"/>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181"/>
    </row>
    <row r="356" spans="1:17">
      <c r="A356" s="180">
        <v>46254</v>
      </c>
      <c r="B356" s="181" t="str">
        <f t="shared" ca="1" si="18"/>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181"/>
    </row>
    <row r="357" spans="1:17">
      <c r="A357" s="180">
        <v>46254</v>
      </c>
      <c r="B357" s="181" t="str">
        <f t="shared" ca="1" si="18"/>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181"/>
    </row>
    <row r="358" spans="1:17">
      <c r="A358" s="180">
        <v>46254</v>
      </c>
      <c r="B358" s="181" t="str">
        <f t="shared" ca="1" si="18"/>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181"/>
    </row>
    <row r="359" spans="1:17">
      <c r="A359" s="180">
        <v>46254</v>
      </c>
      <c r="B359" s="181" t="str">
        <f t="shared" ca="1" si="18"/>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181"/>
    </row>
    <row r="360" spans="1:17">
      <c r="A360" s="180">
        <v>46254</v>
      </c>
      <c r="B360" s="181" t="str">
        <f t="shared" ca="1" si="18"/>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181"/>
    </row>
    <row r="361" spans="1:17">
      <c r="A361" s="180">
        <v>46254</v>
      </c>
      <c r="B361" s="181" t="str">
        <f t="shared" ca="1" si="18"/>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181"/>
    </row>
    <row r="362" spans="1:17">
      <c r="A362" s="180">
        <v>46254</v>
      </c>
      <c r="B362" s="181" t="str">
        <f t="shared" ca="1" si="18"/>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181"/>
    </row>
    <row r="363" spans="1:17">
      <c r="A363" s="180">
        <v>46254</v>
      </c>
      <c r="B363" s="181" t="str">
        <f t="shared" ca="1" si="18"/>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181"/>
    </row>
    <row r="364" spans="1:17">
      <c r="A364" s="180">
        <v>46254</v>
      </c>
      <c r="B364" s="181" t="str">
        <f t="shared" ca="1" si="18"/>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181"/>
    </row>
    <row r="365" spans="1:17">
      <c r="A365" s="180">
        <v>46254</v>
      </c>
      <c r="B365" s="181" t="str">
        <f t="shared" ca="1" si="18"/>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181"/>
    </row>
    <row r="366" spans="1:17">
      <c r="A366" s="180">
        <v>46254</v>
      </c>
      <c r="B366" s="181" t="str">
        <f t="shared" ca="1" si="18"/>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181"/>
    </row>
    <row r="367" spans="1:17">
      <c r="A367" s="180">
        <v>46254</v>
      </c>
      <c r="B367" s="181" t="str">
        <f t="shared" ca="1" si="18"/>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181"/>
    </row>
    <row r="368" spans="1:17">
      <c r="A368" s="180">
        <v>46254</v>
      </c>
      <c r="B368" s="181" t="str">
        <f t="shared" ca="1" si="18"/>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181"/>
    </row>
    <row r="369" spans="1:17">
      <c r="A369" s="188">
        <v>46254</v>
      </c>
      <c r="B369" s="189" t="str">
        <f t="shared" ca="1" si="18"/>
        <v>Active</v>
      </c>
      <c r="C369" s="306" t="s">
        <v>1566</v>
      </c>
      <c r="D369" s="189" t="s">
        <v>1857</v>
      </c>
      <c r="E369" s="190"/>
      <c r="F369" s="189"/>
      <c r="G369" s="189"/>
      <c r="H369" s="189"/>
      <c r="I369" s="189"/>
      <c r="J369" s="189"/>
      <c r="K369" s="189"/>
      <c r="L369" s="189"/>
      <c r="M369" s="189"/>
      <c r="N369" s="189"/>
      <c r="O369" s="189"/>
      <c r="P369" s="189"/>
      <c r="Q369" s="181" t="s">
        <v>4368</v>
      </c>
    </row>
    <row r="370" spans="1:17">
      <c r="A370" s="180">
        <v>46254</v>
      </c>
      <c r="B370" s="181" t="str">
        <f t="shared" ca="1" si="18"/>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181"/>
    </row>
    <row r="371" spans="1:17">
      <c r="A371" s="180">
        <v>46254</v>
      </c>
      <c r="B371" s="181" t="str">
        <f t="shared" ca="1" si="18"/>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181"/>
    </row>
    <row r="372" spans="1:17">
      <c r="A372" s="180">
        <v>46254</v>
      </c>
      <c r="B372" s="181" t="str">
        <f t="shared" ca="1" si="18"/>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181"/>
    </row>
    <row r="373" spans="1:17" ht="19.5" customHeight="1">
      <c r="A373" s="180">
        <v>46254</v>
      </c>
      <c r="B373" s="181" t="str">
        <f t="shared" ca="1" si="18"/>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181"/>
    </row>
    <row r="374" spans="1:17">
      <c r="A374" s="180">
        <v>46254</v>
      </c>
      <c r="B374" s="181" t="str">
        <f t="shared" ca="1" si="18"/>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181"/>
    </row>
    <row r="375" spans="1:17">
      <c r="A375" s="180">
        <v>46254</v>
      </c>
      <c r="B375" s="181" t="str">
        <f t="shared" ca="1" si="18"/>
        <v>Active</v>
      </c>
      <c r="C375" s="307"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181" t="s">
        <v>4374</v>
      </c>
    </row>
    <row r="376" spans="1:17">
      <c r="A376" s="180">
        <v>46254</v>
      </c>
      <c r="B376" s="181" t="str">
        <f t="shared" ca="1" si="18"/>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181" t="s">
        <v>4367</v>
      </c>
    </row>
    <row r="377" spans="1:17">
      <c r="A377" s="180">
        <v>46254</v>
      </c>
      <c r="B377" s="181" t="str">
        <f t="shared" ca="1" si="18"/>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181" t="s">
        <v>4367</v>
      </c>
    </row>
    <row r="378" spans="1:17">
      <c r="A378" s="180">
        <v>46254</v>
      </c>
      <c r="B378" s="181" t="str">
        <f t="shared" ca="1" si="18"/>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181" t="s">
        <v>4367</v>
      </c>
    </row>
    <row r="379" spans="1:17">
      <c r="A379" s="180">
        <v>46254</v>
      </c>
      <c r="B379" s="181" t="str">
        <f t="shared" ca="1" si="18"/>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181" t="s">
        <v>4367</v>
      </c>
    </row>
    <row r="380" spans="1:17">
      <c r="A380" s="180">
        <v>46254</v>
      </c>
      <c r="B380" s="181" t="str">
        <f t="shared" ca="1" si="18"/>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181" t="s">
        <v>4367</v>
      </c>
    </row>
    <row r="381" spans="1:17">
      <c r="A381" s="180">
        <v>46254</v>
      </c>
      <c r="B381" s="181" t="str">
        <f t="shared" ca="1" si="18"/>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181" t="s">
        <v>4367</v>
      </c>
    </row>
    <row r="382" spans="1:17">
      <c r="A382" s="180">
        <v>46254</v>
      </c>
      <c r="B382" s="181" t="str">
        <f t="shared" ca="1" si="18"/>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181" t="s">
        <v>4367</v>
      </c>
    </row>
    <row r="383" spans="1:17">
      <c r="A383" s="180">
        <v>46254</v>
      </c>
      <c r="B383" s="181" t="str">
        <f t="shared" ca="1" si="18"/>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181" t="s">
        <v>4367</v>
      </c>
    </row>
    <row r="384" spans="1:17">
      <c r="A384" s="185">
        <v>46255</v>
      </c>
      <c r="B384" s="186"/>
      <c r="C384" s="186" t="s">
        <v>4365</v>
      </c>
      <c r="D384" s="186"/>
      <c r="E384" s="187"/>
      <c r="F384" s="186"/>
      <c r="G384" s="186"/>
      <c r="H384" s="186"/>
      <c r="I384" s="186"/>
      <c r="J384" s="186"/>
      <c r="K384" s="186"/>
      <c r="L384" s="186"/>
      <c r="M384" s="186"/>
      <c r="N384" s="186"/>
      <c r="O384" s="186"/>
      <c r="P384" s="186"/>
      <c r="Q384" s="181"/>
    </row>
    <row r="385" spans="1:17">
      <c r="A385" s="188">
        <v>46255</v>
      </c>
      <c r="B385" s="189" t="str">
        <f t="shared" ref="B385:B405" ca="1" si="19">IF($A385&lt;TODAY(),"Expired","Active")</f>
        <v>Active</v>
      </c>
      <c r="C385" s="306" t="s">
        <v>1548</v>
      </c>
      <c r="D385" s="189" t="s">
        <v>1857</v>
      </c>
      <c r="E385" s="190"/>
      <c r="F385" s="189"/>
      <c r="G385" s="189"/>
      <c r="H385" s="189"/>
      <c r="I385" s="189"/>
      <c r="J385" s="189"/>
      <c r="K385" s="189"/>
      <c r="L385" s="189"/>
      <c r="M385" s="189"/>
      <c r="N385" s="189"/>
      <c r="O385" s="189"/>
      <c r="P385" s="189"/>
      <c r="Q385" s="181" t="s">
        <v>4368</v>
      </c>
    </row>
    <row r="386" spans="1:17">
      <c r="A386" s="180">
        <v>46255</v>
      </c>
      <c r="B386" s="181" t="str">
        <f t="shared" ca="1" si="19"/>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181"/>
    </row>
    <row r="387" spans="1:17">
      <c r="A387" s="180">
        <v>46255</v>
      </c>
      <c r="B387" s="181" t="str">
        <f t="shared" ca="1" si="19"/>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181"/>
    </row>
    <row r="388" spans="1:17">
      <c r="A388" s="180">
        <v>46255</v>
      </c>
      <c r="B388" s="181" t="str">
        <f t="shared" ca="1" si="19"/>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181"/>
    </row>
    <row r="389" spans="1:17">
      <c r="A389" s="180">
        <v>46255</v>
      </c>
      <c r="B389" s="181" t="str">
        <f t="shared" ca="1" si="19"/>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181"/>
    </row>
    <row r="390" spans="1:17">
      <c r="A390" s="180">
        <v>46255</v>
      </c>
      <c r="B390" s="181" t="str">
        <f t="shared" ca="1" si="19"/>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181"/>
    </row>
    <row r="391" spans="1:17">
      <c r="A391" s="180">
        <v>46255</v>
      </c>
      <c r="B391" s="181" t="str">
        <f t="shared" ca="1" si="19"/>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181"/>
    </row>
    <row r="392" spans="1:17">
      <c r="A392" s="180">
        <v>46255</v>
      </c>
      <c r="B392" s="181" t="str">
        <f t="shared" ca="1" si="19"/>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181"/>
    </row>
    <row r="393" spans="1:17">
      <c r="A393" s="180">
        <v>46255</v>
      </c>
      <c r="B393" s="181" t="str">
        <f t="shared" ca="1" si="19"/>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181"/>
    </row>
    <row r="394" spans="1:17">
      <c r="A394" s="180">
        <v>46255</v>
      </c>
      <c r="B394" s="181" t="str">
        <f t="shared" ca="1" si="19"/>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181"/>
    </row>
    <row r="395" spans="1:17">
      <c r="A395" s="180">
        <v>46255</v>
      </c>
      <c r="B395" s="181" t="str">
        <f t="shared" ca="1" si="19"/>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181"/>
    </row>
    <row r="396" spans="1:17">
      <c r="A396" s="180">
        <v>46255</v>
      </c>
      <c r="B396" s="181" t="str">
        <f t="shared" ca="1" si="19"/>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181"/>
    </row>
    <row r="397" spans="1:17">
      <c r="A397" s="180">
        <v>46255</v>
      </c>
      <c r="B397" s="181" t="str">
        <f t="shared" ca="1" si="19"/>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181" t="s">
        <v>4367</v>
      </c>
    </row>
    <row r="398" spans="1:17">
      <c r="A398" s="180">
        <v>46255</v>
      </c>
      <c r="B398" s="181" t="str">
        <f t="shared" ca="1" si="19"/>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181" t="s">
        <v>4367</v>
      </c>
    </row>
    <row r="399" spans="1:17">
      <c r="A399" s="180">
        <v>46255</v>
      </c>
      <c r="B399" s="181" t="str">
        <f t="shared" ca="1" si="19"/>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181" t="s">
        <v>4367</v>
      </c>
    </row>
    <row r="400" spans="1:17">
      <c r="A400" s="180">
        <v>46255</v>
      </c>
      <c r="B400" s="181" t="str">
        <f t="shared" ca="1" si="19"/>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181" t="s">
        <v>4367</v>
      </c>
    </row>
    <row r="401" spans="1:17" ht="18" customHeight="1">
      <c r="A401" s="180">
        <v>46255</v>
      </c>
      <c r="B401" s="181" t="str">
        <f t="shared" ca="1" si="19"/>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181" t="s">
        <v>4367</v>
      </c>
    </row>
    <row r="402" spans="1:17">
      <c r="A402" s="180">
        <v>46255</v>
      </c>
      <c r="B402" s="181" t="str">
        <f t="shared" ca="1" si="19"/>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181" t="s">
        <v>4367</v>
      </c>
    </row>
    <row r="403" spans="1:17">
      <c r="A403" s="180">
        <v>46255</v>
      </c>
      <c r="B403" s="181" t="str">
        <f t="shared" ca="1" si="19"/>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181" t="s">
        <v>4367</v>
      </c>
    </row>
    <row r="404" spans="1:17">
      <c r="A404" s="180">
        <v>46255</v>
      </c>
      <c r="B404" s="181" t="str">
        <f t="shared" ca="1" si="19"/>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181" t="s">
        <v>4367</v>
      </c>
    </row>
    <row r="405" spans="1:17" ht="18" customHeight="1">
      <c r="A405" s="180">
        <v>46255</v>
      </c>
      <c r="B405" s="181" t="str">
        <f t="shared" ca="1" si="19"/>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181" t="s">
        <v>4367</v>
      </c>
    </row>
    <row r="406" spans="1:17" ht="18" customHeight="1">
      <c r="A406" s="180">
        <v>46255</v>
      </c>
      <c r="B406" s="181" t="str">
        <f ca="1">IF($A406&lt;TODAY(),"Expired","Active")</f>
        <v>Active</v>
      </c>
      <c r="C406" s="181" t="s">
        <v>253</v>
      </c>
      <c r="D406" s="181" t="s">
        <v>959</v>
      </c>
      <c r="E406" s="182"/>
      <c r="F406" s="181"/>
      <c r="G406" s="181"/>
      <c r="H406" s="181"/>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181" t="s">
        <v>4384</v>
      </c>
    </row>
    <row r="407" spans="1:17">
      <c r="A407" s="185">
        <v>46258</v>
      </c>
      <c r="B407" s="186"/>
      <c r="C407" s="186" t="s">
        <v>4365</v>
      </c>
      <c r="D407" s="186"/>
      <c r="E407" s="187"/>
      <c r="F407" s="186"/>
      <c r="G407" s="186"/>
      <c r="H407" s="186"/>
      <c r="I407" s="186"/>
      <c r="J407" s="186"/>
      <c r="K407" s="186"/>
      <c r="L407" s="186"/>
      <c r="M407" s="186"/>
      <c r="N407" s="186"/>
      <c r="O407" s="186"/>
      <c r="P407" s="186"/>
      <c r="Q407" s="181"/>
    </row>
    <row r="408" spans="1:17">
      <c r="A408" s="188">
        <v>46258</v>
      </c>
      <c r="B408" s="189" t="str">
        <f t="shared" ref="B408:B448" ca="1" si="20">IF($A408&lt;TODAY(),"Expired","Active")</f>
        <v>Active</v>
      </c>
      <c r="C408" s="306" t="s">
        <v>1554</v>
      </c>
      <c r="D408" s="189" t="s">
        <v>1857</v>
      </c>
      <c r="E408" s="190"/>
      <c r="F408" s="189"/>
      <c r="G408" s="189"/>
      <c r="H408" s="189"/>
      <c r="I408" s="189"/>
      <c r="J408" s="189"/>
      <c r="K408" s="189"/>
      <c r="L408" s="189"/>
      <c r="M408" s="189"/>
      <c r="N408" s="189"/>
      <c r="O408" s="189"/>
      <c r="P408" s="189"/>
      <c r="Q408" s="181" t="s">
        <v>4368</v>
      </c>
    </row>
    <row r="409" spans="1:17">
      <c r="A409" s="180">
        <v>46258</v>
      </c>
      <c r="B409" s="181" t="str">
        <f t="shared" ca="1" si="20"/>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181"/>
    </row>
    <row r="410" spans="1:17">
      <c r="A410" s="180">
        <v>46258</v>
      </c>
      <c r="B410" s="181" t="str">
        <f t="shared" ca="1" si="20"/>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181"/>
    </row>
    <row r="411" spans="1:17">
      <c r="A411" s="180">
        <v>46258</v>
      </c>
      <c r="B411" s="181" t="str">
        <f t="shared" ca="1" si="20"/>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181"/>
    </row>
    <row r="412" spans="1:17">
      <c r="A412" s="180">
        <v>46258</v>
      </c>
      <c r="B412" s="181" t="str">
        <f t="shared" ca="1" si="20"/>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181"/>
    </row>
    <row r="413" spans="1:17">
      <c r="A413" s="180">
        <v>46258</v>
      </c>
      <c r="B413" s="181" t="str">
        <f t="shared" ca="1" si="20"/>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181"/>
    </row>
    <row r="414" spans="1:17">
      <c r="A414" s="180">
        <v>46258</v>
      </c>
      <c r="B414" s="181" t="str">
        <f t="shared" ca="1" si="20"/>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181"/>
    </row>
    <row r="415" spans="1:17">
      <c r="A415" s="180">
        <v>46258</v>
      </c>
      <c r="B415" s="181" t="str">
        <f t="shared" ca="1" si="20"/>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181"/>
    </row>
    <row r="416" spans="1:17">
      <c r="A416" s="180">
        <v>46258</v>
      </c>
      <c r="B416" s="181" t="str">
        <f t="shared" ca="1" si="20"/>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181"/>
    </row>
    <row r="417" spans="1:17">
      <c r="A417" s="180">
        <v>46258</v>
      </c>
      <c r="B417" s="181" t="str">
        <f t="shared" ca="1" si="20"/>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181"/>
    </row>
    <row r="418" spans="1:17">
      <c r="A418" s="180">
        <v>46258</v>
      </c>
      <c r="B418" s="181" t="str">
        <f t="shared" ca="1" si="20"/>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181"/>
    </row>
    <row r="419" spans="1:17">
      <c r="A419" s="180">
        <v>46258</v>
      </c>
      <c r="B419" s="181" t="str">
        <f t="shared" ca="1" si="20"/>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181"/>
    </row>
    <row r="420" spans="1:17">
      <c r="A420" s="180">
        <v>46258</v>
      </c>
      <c r="B420" s="181" t="str">
        <f t="shared" ca="1" si="20"/>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181"/>
    </row>
    <row r="421" spans="1:17">
      <c r="A421" s="180">
        <v>46258</v>
      </c>
      <c r="B421" s="181" t="str">
        <f t="shared" ca="1" si="20"/>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181"/>
    </row>
    <row r="422" spans="1:17" ht="14.45" customHeight="1">
      <c r="A422" s="180">
        <v>46258</v>
      </c>
      <c r="B422" s="181" t="str">
        <f t="shared" ca="1" si="20"/>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181"/>
    </row>
    <row r="423" spans="1:17">
      <c r="A423" s="180">
        <v>46258</v>
      </c>
      <c r="B423" s="181" t="str">
        <f t="shared" ca="1" si="20"/>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181"/>
    </row>
    <row r="424" spans="1:17">
      <c r="A424" s="180">
        <v>46258</v>
      </c>
      <c r="B424" s="181" t="str">
        <f t="shared" ca="1" si="20"/>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181"/>
    </row>
    <row r="425" spans="1:17">
      <c r="A425" s="180">
        <v>46258</v>
      </c>
      <c r="B425" s="181" t="str">
        <f t="shared" ca="1" si="20"/>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181"/>
    </row>
    <row r="426" spans="1:17">
      <c r="A426" s="180">
        <v>46258</v>
      </c>
      <c r="B426" s="181" t="str">
        <f t="shared" ca="1" si="20"/>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181" t="s">
        <v>4367</v>
      </c>
    </row>
    <row r="427" spans="1:17">
      <c r="A427" s="188">
        <v>46258</v>
      </c>
      <c r="B427" s="189" t="str">
        <f t="shared" ca="1" si="20"/>
        <v>Active</v>
      </c>
      <c r="C427" s="306" t="s">
        <v>1606</v>
      </c>
      <c r="D427" s="189" t="s">
        <v>1857</v>
      </c>
      <c r="E427" s="190"/>
      <c r="F427" s="189"/>
      <c r="G427" s="189"/>
      <c r="H427" s="189"/>
      <c r="I427" s="189"/>
      <c r="J427" s="189"/>
      <c r="K427" s="189"/>
      <c r="L427" s="189"/>
      <c r="M427" s="189"/>
      <c r="N427" s="189"/>
      <c r="O427" s="189"/>
      <c r="P427" s="189"/>
      <c r="Q427" s="181" t="s">
        <v>4368</v>
      </c>
    </row>
    <row r="428" spans="1:17">
      <c r="A428" s="180">
        <v>46258</v>
      </c>
      <c r="B428" s="181" t="str">
        <f t="shared" ca="1" si="20"/>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181"/>
    </row>
    <row r="429" spans="1:17">
      <c r="A429" s="180">
        <v>46258</v>
      </c>
      <c r="B429" s="181" t="str">
        <f t="shared" ca="1" si="20"/>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181"/>
    </row>
    <row r="430" spans="1:17">
      <c r="A430" s="180">
        <v>46258</v>
      </c>
      <c r="B430" s="181" t="str">
        <f t="shared" ca="1" si="20"/>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181"/>
    </row>
    <row r="431" spans="1:17">
      <c r="A431" s="180">
        <v>46258</v>
      </c>
      <c r="B431" s="181" t="str">
        <f t="shared" ca="1" si="20"/>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181"/>
    </row>
    <row r="432" spans="1:17">
      <c r="A432" s="180">
        <v>46258</v>
      </c>
      <c r="B432" s="181" t="str">
        <f t="shared" ca="1" si="20"/>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181"/>
    </row>
    <row r="433" spans="1:17">
      <c r="A433" s="180">
        <v>46258</v>
      </c>
      <c r="B433" s="181" t="str">
        <f t="shared" ca="1" si="20"/>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181"/>
    </row>
    <row r="434" spans="1:17">
      <c r="A434" s="180">
        <v>46258</v>
      </c>
      <c r="B434" s="181" t="str">
        <f t="shared" ca="1" si="20"/>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181"/>
    </row>
    <row r="435" spans="1:17">
      <c r="A435" s="180">
        <v>46258</v>
      </c>
      <c r="B435" s="181" t="str">
        <f t="shared" ca="1" si="20"/>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181"/>
    </row>
    <row r="436" spans="1:17">
      <c r="A436" s="180">
        <v>46258</v>
      </c>
      <c r="B436" s="181" t="str">
        <f t="shared" ca="1" si="20"/>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181"/>
    </row>
    <row r="437" spans="1:17">
      <c r="A437" s="180">
        <v>46258</v>
      </c>
      <c r="B437" s="181" t="str">
        <f t="shared" ca="1" si="20"/>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181"/>
    </row>
    <row r="438" spans="1:17">
      <c r="A438" s="180">
        <v>46258</v>
      </c>
      <c r="B438" s="181" t="str">
        <f t="shared" ca="1" si="20"/>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181"/>
    </row>
    <row r="439" spans="1:17">
      <c r="A439" s="180">
        <v>46258</v>
      </c>
      <c r="B439" s="181" t="str">
        <f t="shared" ca="1" si="20"/>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181"/>
    </row>
    <row r="440" spans="1:17">
      <c r="A440" s="180">
        <v>46258</v>
      </c>
      <c r="B440" s="181" t="str">
        <f t="shared" ca="1" si="20"/>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181"/>
    </row>
    <row r="441" spans="1:17">
      <c r="A441" s="180">
        <v>46258</v>
      </c>
      <c r="B441" s="181" t="str">
        <f t="shared" ca="1" si="20"/>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181"/>
    </row>
    <row r="442" spans="1:17">
      <c r="A442" s="180">
        <v>46258</v>
      </c>
      <c r="B442" s="181" t="str">
        <f t="shared" ca="1" si="20"/>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181"/>
    </row>
    <row r="443" spans="1:17">
      <c r="A443" s="180">
        <v>46258</v>
      </c>
      <c r="B443" s="181" t="str">
        <f t="shared" ca="1" si="20"/>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181"/>
    </row>
    <row r="444" spans="1:17">
      <c r="A444" s="180">
        <v>46258</v>
      </c>
      <c r="B444" s="181" t="str">
        <f t="shared" ca="1" si="20"/>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181" t="s">
        <v>4367</v>
      </c>
    </row>
    <row r="445" spans="1:17">
      <c r="A445" s="180">
        <v>46258</v>
      </c>
      <c r="B445" s="181" t="str">
        <f t="shared" ca="1" si="20"/>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181" t="s">
        <v>4367</v>
      </c>
    </row>
    <row r="446" spans="1:17">
      <c r="A446" s="180">
        <v>46258</v>
      </c>
      <c r="B446" s="181" t="str">
        <f t="shared" ca="1" si="20"/>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181" t="s">
        <v>4367</v>
      </c>
    </row>
    <row r="447" spans="1:17">
      <c r="A447" s="180">
        <v>46258</v>
      </c>
      <c r="B447" s="181" t="str">
        <f t="shared" ca="1" si="20"/>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181" t="s">
        <v>4367</v>
      </c>
    </row>
    <row r="448" spans="1:17">
      <c r="A448" s="180">
        <v>46258</v>
      </c>
      <c r="B448" s="181" t="str">
        <f t="shared" ca="1" si="20"/>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181" t="s">
        <v>4367</v>
      </c>
    </row>
    <row r="449" spans="1:17">
      <c r="A449" s="180">
        <v>46258</v>
      </c>
      <c r="B449" s="181" t="str">
        <f ca="1">IF($A449&lt;TODAY(),"Expired","Active")</f>
        <v>Active</v>
      </c>
      <c r="C449" s="181" t="s">
        <v>558</v>
      </c>
      <c r="D449" s="181" t="s">
        <v>959</v>
      </c>
      <c r="E449" s="182"/>
      <c r="F449" s="181"/>
      <c r="G449" s="181"/>
      <c r="H449" s="181"/>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181" t="s">
        <v>4384</v>
      </c>
    </row>
    <row r="450" spans="1:17">
      <c r="A450" s="185">
        <v>46259</v>
      </c>
      <c r="B450" s="186"/>
      <c r="C450" s="186" t="s">
        <v>4365</v>
      </c>
      <c r="D450" s="186"/>
      <c r="E450" s="187"/>
      <c r="F450" s="186"/>
      <c r="G450" s="186"/>
      <c r="H450" s="186"/>
      <c r="I450" s="186"/>
      <c r="J450" s="186"/>
      <c r="K450" s="186"/>
      <c r="L450" s="186"/>
      <c r="M450" s="186"/>
      <c r="N450" s="186"/>
      <c r="O450" s="186"/>
      <c r="P450" s="186"/>
      <c r="Q450" s="181"/>
    </row>
    <row r="451" spans="1:17">
      <c r="A451" s="188">
        <v>46259</v>
      </c>
      <c r="B451" s="189" t="str">
        <f t="shared" ref="B451:B480" ca="1" si="21">IF($A451&lt;TODAY(),"Expired","Active")</f>
        <v>Active</v>
      </c>
      <c r="C451" s="306" t="s">
        <v>1560</v>
      </c>
      <c r="D451" s="189" t="s">
        <v>1857</v>
      </c>
      <c r="E451" s="190"/>
      <c r="F451" s="189"/>
      <c r="G451" s="189"/>
      <c r="H451" s="189"/>
      <c r="I451" s="189"/>
      <c r="J451" s="189"/>
      <c r="K451" s="189"/>
      <c r="L451" s="189"/>
      <c r="M451" s="189"/>
      <c r="N451" s="189"/>
      <c r="O451" s="189"/>
      <c r="P451" s="189"/>
      <c r="Q451" s="181" t="s">
        <v>4368</v>
      </c>
    </row>
    <row r="452" spans="1:17" ht="18" customHeight="1">
      <c r="A452" s="180">
        <v>46259</v>
      </c>
      <c r="B452" s="181" t="str">
        <f t="shared" ca="1" si="21"/>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181"/>
    </row>
    <row r="453" spans="1:17">
      <c r="A453" s="180">
        <v>46259</v>
      </c>
      <c r="B453" s="181" t="str">
        <f t="shared" ca="1" si="21"/>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181"/>
    </row>
    <row r="454" spans="1:17">
      <c r="A454" s="180">
        <v>46259</v>
      </c>
      <c r="B454" s="181" t="str">
        <f t="shared" ca="1" si="21"/>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181"/>
    </row>
    <row r="455" spans="1:17">
      <c r="A455" s="180">
        <v>46259</v>
      </c>
      <c r="B455" s="181" t="str">
        <f t="shared" ca="1" si="21"/>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181"/>
    </row>
    <row r="456" spans="1:17">
      <c r="A456" s="180">
        <v>46259</v>
      </c>
      <c r="B456" s="181" t="str">
        <f t="shared" ca="1" si="21"/>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181"/>
    </row>
    <row r="457" spans="1:17">
      <c r="A457" s="180">
        <v>46259</v>
      </c>
      <c r="B457" s="181" t="str">
        <f t="shared" ca="1" si="21"/>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181"/>
    </row>
    <row r="458" spans="1:17">
      <c r="A458" s="180">
        <v>46259</v>
      </c>
      <c r="B458" s="181" t="str">
        <f t="shared" ca="1" si="21"/>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181"/>
    </row>
    <row r="459" spans="1:17">
      <c r="A459" s="180">
        <v>46259</v>
      </c>
      <c r="B459" s="181" t="str">
        <f t="shared" ca="1" si="21"/>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181"/>
    </row>
    <row r="460" spans="1:17">
      <c r="A460" s="180">
        <v>46259</v>
      </c>
      <c r="B460" s="181" t="str">
        <f t="shared" ca="1" si="21"/>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181"/>
    </row>
    <row r="461" spans="1:17">
      <c r="A461" s="180">
        <v>46259</v>
      </c>
      <c r="B461" s="181" t="str">
        <f t="shared" ca="1" si="21"/>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181" t="s">
        <v>4367</v>
      </c>
    </row>
    <row r="462" spans="1:17">
      <c r="A462" s="180">
        <v>46259</v>
      </c>
      <c r="B462" s="181" t="str">
        <f t="shared" ca="1" si="21"/>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181" t="s">
        <v>4367</v>
      </c>
    </row>
    <row r="463" spans="1:17">
      <c r="A463" s="180">
        <v>46259</v>
      </c>
      <c r="B463" s="181" t="str">
        <f t="shared" ca="1" si="21"/>
        <v>Active</v>
      </c>
      <c r="C463" s="307"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181" t="s">
        <v>4368</v>
      </c>
    </row>
    <row r="464" spans="1:17">
      <c r="A464" s="188">
        <v>46259</v>
      </c>
      <c r="B464" s="189" t="str">
        <f t="shared" ca="1" si="21"/>
        <v>Active</v>
      </c>
      <c r="C464" s="306" t="s">
        <v>1498</v>
      </c>
      <c r="D464" s="189" t="s">
        <v>959</v>
      </c>
      <c r="E464" s="190"/>
      <c r="F464" s="189"/>
      <c r="G464" s="189"/>
      <c r="H464" s="189"/>
      <c r="I464" s="189"/>
      <c r="J464" s="189"/>
      <c r="K464" s="189"/>
      <c r="L464" s="189"/>
      <c r="M464" s="189"/>
      <c r="N464" s="189"/>
      <c r="O464" s="189"/>
      <c r="P464" s="189"/>
      <c r="Q464" s="181" t="s">
        <v>4368</v>
      </c>
    </row>
    <row r="465" spans="1:17">
      <c r="A465" s="180">
        <v>46259</v>
      </c>
      <c r="B465" s="181" t="str">
        <f t="shared" ca="1" si="21"/>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181"/>
    </row>
    <row r="466" spans="1:17" ht="18" customHeight="1">
      <c r="A466" s="180">
        <v>46259</v>
      </c>
      <c r="B466" s="181" t="str">
        <f t="shared" ca="1" si="21"/>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181"/>
    </row>
    <row r="467" spans="1:17">
      <c r="A467" s="180">
        <v>46259</v>
      </c>
      <c r="B467" s="181" t="str">
        <f t="shared" ca="1" si="21"/>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181"/>
    </row>
    <row r="468" spans="1:17">
      <c r="A468" s="180">
        <v>46259</v>
      </c>
      <c r="B468" s="181" t="str">
        <f t="shared" ca="1" si="21"/>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181"/>
    </row>
    <row r="469" spans="1:17" ht="19.5" customHeight="1">
      <c r="A469" s="180">
        <v>46259</v>
      </c>
      <c r="B469" s="181" t="str">
        <f t="shared" ca="1" si="21"/>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181"/>
    </row>
    <row r="470" spans="1:17">
      <c r="A470" s="180">
        <v>46259</v>
      </c>
      <c r="B470" s="181" t="str">
        <f t="shared" ca="1" si="21"/>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181"/>
    </row>
    <row r="471" spans="1:17">
      <c r="A471" s="180">
        <v>46259</v>
      </c>
      <c r="B471" s="181" t="str">
        <f t="shared" ca="1" si="21"/>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181"/>
    </row>
    <row r="472" spans="1:17">
      <c r="A472" s="180">
        <v>46259</v>
      </c>
      <c r="B472" s="181" t="str">
        <f t="shared" ca="1" si="21"/>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181"/>
    </row>
    <row r="473" spans="1:17">
      <c r="A473" s="180">
        <v>46259</v>
      </c>
      <c r="B473" s="181" t="str">
        <f t="shared" ca="1" si="21"/>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181"/>
    </row>
    <row r="474" spans="1:17">
      <c r="A474" s="180">
        <v>46259</v>
      </c>
      <c r="B474" s="181" t="str">
        <f t="shared" ca="1" si="21"/>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181"/>
    </row>
    <row r="475" spans="1:17">
      <c r="A475" s="180">
        <v>46259</v>
      </c>
      <c r="B475" s="181" t="str">
        <f t="shared" ca="1" si="21"/>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181"/>
    </row>
    <row r="476" spans="1:17">
      <c r="A476" s="180">
        <v>46259</v>
      </c>
      <c r="B476" s="181" t="str">
        <f t="shared" ca="1" si="21"/>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181"/>
    </row>
    <row r="477" spans="1:17">
      <c r="A477" s="180">
        <v>46259</v>
      </c>
      <c r="B477" s="181" t="str">
        <f t="shared" ca="1" si="21"/>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181"/>
    </row>
    <row r="478" spans="1:17">
      <c r="A478" s="180">
        <v>46259</v>
      </c>
      <c r="B478" s="181" t="str">
        <f t="shared" ca="1" si="21"/>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181" t="s">
        <v>4367</v>
      </c>
    </row>
    <row r="479" spans="1:17">
      <c r="A479" s="180">
        <v>46259</v>
      </c>
      <c r="B479" s="181" t="str">
        <f t="shared" ca="1" si="21"/>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181" t="s">
        <v>4367</v>
      </c>
    </row>
    <row r="480" spans="1:17">
      <c r="A480" s="180">
        <v>46259</v>
      </c>
      <c r="B480" s="181" t="str">
        <f t="shared" ca="1" si="21"/>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181" t="s">
        <v>4367</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1" t="s">
        <v>4387</v>
      </c>
      <c r="B1" s="353"/>
      <c r="C1" s="353"/>
      <c r="D1" s="353"/>
      <c r="E1" s="353"/>
      <c r="F1" s="353"/>
      <c r="G1" s="353"/>
      <c r="H1" s="353"/>
      <c r="I1" s="353"/>
      <c r="J1" s="353"/>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52" t="s">
        <v>4462</v>
      </c>
      <c r="B41" s="352"/>
      <c r="C41" s="352"/>
      <c r="D41" s="352"/>
      <c r="E41" s="352"/>
      <c r="F41" s="352"/>
      <c r="G41" s="352"/>
      <c r="H41" s="352"/>
      <c r="I41" s="352"/>
      <c r="J41" s="352"/>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09" t="s">
        <v>5481</v>
      </c>
    </row>
    <row r="3" spans="1:13">
      <c r="A3" s="310" t="s">
        <v>5482</v>
      </c>
      <c r="B3" s="175"/>
    </row>
    <row r="4" spans="1:13">
      <c r="A4" t="s">
        <v>5483</v>
      </c>
      <c r="B4" s="311">
        <v>1150</v>
      </c>
    </row>
    <row r="5" spans="1:13">
      <c r="A5" t="s">
        <v>5484</v>
      </c>
      <c r="B5" s="312">
        <v>0.3</v>
      </c>
    </row>
    <row r="6" spans="1:13">
      <c r="A6" t="s">
        <v>5485</v>
      </c>
      <c r="B6" s="313">
        <f>B4*B5</f>
        <v>345</v>
      </c>
    </row>
    <row r="7" spans="1:13">
      <c r="A7" t="s">
        <v>5486</v>
      </c>
      <c r="B7" s="314">
        <v>0.3</v>
      </c>
    </row>
    <row r="8" spans="1:13">
      <c r="A8" t="s">
        <v>5487</v>
      </c>
      <c r="B8" s="312">
        <v>0.5</v>
      </c>
    </row>
    <row r="9" spans="1:13">
      <c r="D9" s="326" t="s">
        <v>5488</v>
      </c>
    </row>
    <row r="10" spans="1:13" ht="29.1">
      <c r="A10" s="315" t="s">
        <v>4274</v>
      </c>
      <c r="B10" s="315" t="s">
        <v>4332</v>
      </c>
      <c r="C10" s="315" t="s">
        <v>5489</v>
      </c>
      <c r="D10" s="315" t="s">
        <v>5490</v>
      </c>
      <c r="E10" s="315" t="s">
        <v>5491</v>
      </c>
      <c r="F10" s="315" t="s">
        <v>5492</v>
      </c>
      <c r="G10" s="315" t="s">
        <v>4331</v>
      </c>
      <c r="H10" s="315" t="s">
        <v>4333</v>
      </c>
      <c r="I10" s="315" t="s">
        <v>5493</v>
      </c>
      <c r="J10" s="315" t="s">
        <v>5494</v>
      </c>
      <c r="K10" s="315" t="s">
        <v>5495</v>
      </c>
      <c r="L10" s="315" t="s">
        <v>5496</v>
      </c>
      <c r="M10" s="315" t="s">
        <v>5497</v>
      </c>
    </row>
    <row r="11" spans="1:13">
      <c r="A11" s="316" t="s">
        <v>1459</v>
      </c>
      <c r="B11" s="317">
        <f>SUMIF(Hraefnaskra[Réttur],$A11,Hraefnaskra[Magn (g)])/1000</f>
        <v>60</v>
      </c>
      <c r="C11" s="317">
        <f>(SUMIFS(Hraefnaskra[Magn (g)],Hraefnaskra[Réttur],$A11,Hraefnaskra[Vöruflokkur],"Grænmeti*")+SUMIFS(Hraefnaskra[Magn (g)],Hraefnaskra[Réttur],$A11,Hraefnaskra[Vöruflokkur],"Ávextir*")+SUMIFS(Hraefnaskra[Magn (g)],Hraefnaskra[Réttur],$A11,Hraefnaskra[Vöruflokkur],"Frosnar blöndur*"))/1000</f>
        <v>8.3000000000000007</v>
      </c>
      <c r="D11" s="318">
        <f t="shared" ref="D11:D42" si="0">IFERROR(C11/B11,"")</f>
        <v>0.13833333333333334</v>
      </c>
      <c r="E11" s="317">
        <f>(SUMIFS(Hraefnaskra[Magn (g)],Hraefnaskra[Réttur],$A11,Hraefnaskra[Vöruflokkur],"Kjöt*")+SUMIFS(Hraefnaskra[Magn (g)],Hraefnaskra[Réttur],$A11,Hraefnaskra[Vöruflokkur],"Fiskur*")+SUMIFS(Hraefnaskra[Magn (g)],Hraefnaskra[Réttur],$A11,Hraefnaskra[Vöruflokkur],"Plöntubasað*"))/1000</f>
        <v>25</v>
      </c>
      <c r="F11" s="318">
        <f t="shared" ref="F11:F42" si="1">IFERROR(E11/B11,"")</f>
        <v>0.41666666666666669</v>
      </c>
      <c r="G11" s="319">
        <f>SUMIF(Hraefnaskra[Réttur],$A11,Hraefnaskra[Kostnaður (kr)])</f>
        <v>58593.48</v>
      </c>
      <c r="H11" s="319">
        <f t="shared" ref="H11:H42" si="2">IFERROR(G11/B11,"")</f>
        <v>976.55800000000011</v>
      </c>
      <c r="I11" s="319">
        <f t="shared" ref="I11:I42" si="3">IFERROR(H11*$B$7,"")</f>
        <v>292.9674</v>
      </c>
      <c r="J11" s="318">
        <f t="shared" ref="J11:J42" si="4">IFERROR(I11/$B$4,"")</f>
        <v>0.25475426086956521</v>
      </c>
      <c r="K11" s="320" t="str">
        <f t="shared" ref="K11:K42" si="5">IF(D11="","",IF(D11&gt;=$B$8,"Já","Nei"))</f>
        <v>Nei</v>
      </c>
      <c r="L11" s="320" t="str">
        <f t="shared" ref="L11:L42" si="6">IF(J11="","",IF(J11&lt;=$B$5,"Já","Nei"))</f>
        <v>Já</v>
      </c>
      <c r="M11" s="320" t="str">
        <f t="shared" ref="M11:M42" si="7">IF(K11="","",IF(AND(K11="Já",L11="Já"),"Í lagi",IF(L11="Nei","Bæta við grænmeti – lækka próteinkostnað","Undir grænmetismarkmiði")))</f>
        <v>Undir grænmetismarkmiði</v>
      </c>
    </row>
    <row r="12" spans="1:13">
      <c r="A12" s="316" t="s">
        <v>863</v>
      </c>
      <c r="B12" s="317">
        <f>SUMIF(Hraefnaskra[Réttur],$A12,Hraefnaskra[Magn (g)])/1000</f>
        <v>99.98</v>
      </c>
      <c r="C12" s="317">
        <f>(SUMIFS(Hraefnaskra[Magn (g)],Hraefnaskra[Réttur],$A12,Hraefnaskra[Vöruflokkur],"Grænmeti*")+SUMIFS(Hraefnaskra[Magn (g)],Hraefnaskra[Réttur],$A12,Hraefnaskra[Vöruflokkur],"Ávextir*")+SUMIFS(Hraefnaskra[Magn (g)],Hraefnaskra[Réttur],$A12,Hraefnaskra[Vöruflokkur],"Frosnar blöndur*"))/1000</f>
        <v>50</v>
      </c>
      <c r="D12" s="318">
        <f t="shared" si="0"/>
        <v>0.50010002000400078</v>
      </c>
      <c r="E12" s="317">
        <f>(SUMIFS(Hraefnaskra[Magn (g)],Hraefnaskra[Réttur],$A12,Hraefnaskra[Vöruflokkur],"Kjöt*")+SUMIFS(Hraefnaskra[Magn (g)],Hraefnaskra[Réttur],$A12,Hraefnaskra[Vöruflokkur],"Fiskur*")+SUMIFS(Hraefnaskra[Magn (g)],Hraefnaskra[Réttur],$A12,Hraefnaskra[Vöruflokkur],"Plöntubasað*"))/1000</f>
        <v>35</v>
      </c>
      <c r="F12" s="318">
        <f t="shared" si="1"/>
        <v>0.35007001400280052</v>
      </c>
      <c r="G12" s="319">
        <f>SUMIF(Hraefnaskra[Réttur],$A12,Hraefnaskra[Kostnaður (kr)])</f>
        <v>165559.70000000001</v>
      </c>
      <c r="H12" s="319">
        <f t="shared" si="2"/>
        <v>1655.9281856371274</v>
      </c>
      <c r="I12" s="319">
        <f t="shared" si="3"/>
        <v>496.77845569113822</v>
      </c>
      <c r="J12" s="318">
        <f t="shared" si="4"/>
        <v>0.43198126581838109</v>
      </c>
      <c r="K12" s="320" t="str">
        <f t="shared" si="5"/>
        <v>Já</v>
      </c>
      <c r="L12" s="320" t="str">
        <f t="shared" si="6"/>
        <v>Nei</v>
      </c>
      <c r="M12" s="320" t="str">
        <f t="shared" si="7"/>
        <v>Bæta við grænmeti – lækka próteinkostnað</v>
      </c>
    </row>
    <row r="13" spans="1:13">
      <c r="A13" s="316" t="s">
        <v>865</v>
      </c>
      <c r="B13" s="317">
        <f>SUMIF(Hraefnaskra[Réttur],$A13,Hraefnaskra[Magn (g)])/1000</f>
        <v>72.2</v>
      </c>
      <c r="C13" s="317">
        <f>(SUMIFS(Hraefnaskra[Magn (g)],Hraefnaskra[Réttur],$A13,Hraefnaskra[Vöruflokkur],"Grænmeti*")+SUMIFS(Hraefnaskra[Magn (g)],Hraefnaskra[Réttur],$A13,Hraefnaskra[Vöruflokkur],"Ávextir*")+SUMIFS(Hraefnaskra[Magn (g)],Hraefnaskra[Réttur],$A13,Hraefnaskra[Vöruflokkur],"Frosnar blöndur*"))/1000</f>
        <v>22</v>
      </c>
      <c r="D13" s="318">
        <f t="shared" si="0"/>
        <v>0.3047091412742382</v>
      </c>
      <c r="E13" s="317">
        <f>(SUMIFS(Hraefnaskra[Magn (g)],Hraefnaskra[Réttur],$A13,Hraefnaskra[Vöruflokkur],"Kjöt*")+SUMIFS(Hraefnaskra[Magn (g)],Hraefnaskra[Réttur],$A13,Hraefnaskra[Vöruflokkur],"Fiskur*")+SUMIFS(Hraefnaskra[Magn (g)],Hraefnaskra[Réttur],$A13,Hraefnaskra[Vöruflokkur],"Plöntubasað*"))/1000</f>
        <v>35</v>
      </c>
      <c r="F13" s="318">
        <f t="shared" si="1"/>
        <v>0.48476454293628807</v>
      </c>
      <c r="G13" s="319">
        <f>SUMIF(Hraefnaskra[Réttur],$A13,Hraefnaskra[Kostnaður (kr)])</f>
        <v>20176.5</v>
      </c>
      <c r="H13" s="319">
        <f t="shared" si="2"/>
        <v>279.45290858725758</v>
      </c>
      <c r="I13" s="319">
        <f t="shared" si="3"/>
        <v>83.835872576177266</v>
      </c>
      <c r="J13" s="318">
        <f t="shared" si="4"/>
        <v>7.2900758761893281E-2</v>
      </c>
      <c r="K13" s="320" t="str">
        <f t="shared" si="5"/>
        <v>Nei</v>
      </c>
      <c r="L13" s="320" t="str">
        <f t="shared" si="6"/>
        <v>Já</v>
      </c>
      <c r="M13" s="320" t="str">
        <f t="shared" si="7"/>
        <v>Undir grænmetismarkmiði</v>
      </c>
    </row>
    <row r="14" spans="1:13">
      <c r="A14" s="316" t="s">
        <v>867</v>
      </c>
      <c r="B14" s="317">
        <f>SUMIF(Hraefnaskra[Réttur],$A14,Hraefnaskra[Magn (g)])/1000</f>
        <v>100</v>
      </c>
      <c r="C14" s="317">
        <f>(SUMIFS(Hraefnaskra[Magn (g)],Hraefnaskra[Réttur],$A14,Hraefnaskra[Vöruflokkur],"Grænmeti*")+SUMIFS(Hraefnaskra[Magn (g)],Hraefnaskra[Réttur],$A14,Hraefnaskra[Vöruflokkur],"Ávextir*")+SUMIFS(Hraefnaskra[Magn (g)],Hraefnaskra[Réttur],$A14,Hraefnaskra[Vöruflokkur],"Frosnar blöndur*"))/1000</f>
        <v>2.5</v>
      </c>
      <c r="D14" s="318">
        <f t="shared" si="0"/>
        <v>2.5000000000000001E-2</v>
      </c>
      <c r="E14" s="317">
        <f>(SUMIFS(Hraefnaskra[Magn (g)],Hraefnaskra[Réttur],$A14,Hraefnaskra[Vöruflokkur],"Kjöt*")+SUMIFS(Hraefnaskra[Magn (g)],Hraefnaskra[Réttur],$A14,Hraefnaskra[Vöruflokkur],"Fiskur*")+SUMIFS(Hraefnaskra[Magn (g)],Hraefnaskra[Réttur],$A14,Hraefnaskra[Vöruflokkur],"Plöntubasað*"))/1000</f>
        <v>70</v>
      </c>
      <c r="F14" s="318">
        <f t="shared" si="1"/>
        <v>0.7</v>
      </c>
      <c r="G14" s="319">
        <f>SUMIF(Hraefnaskra[Réttur],$A14,Hraefnaskra[Kostnaður (kr)])</f>
        <v>184499.5</v>
      </c>
      <c r="H14" s="319">
        <f t="shared" si="2"/>
        <v>1844.9949999999999</v>
      </c>
      <c r="I14" s="319">
        <f t="shared" si="3"/>
        <v>553.49849999999992</v>
      </c>
      <c r="J14" s="318">
        <f t="shared" si="4"/>
        <v>0.48130304347826081</v>
      </c>
      <c r="K14" s="320" t="str">
        <f t="shared" si="5"/>
        <v>Nei</v>
      </c>
      <c r="L14" s="320" t="str">
        <f t="shared" si="6"/>
        <v>Nei</v>
      </c>
      <c r="M14" s="320" t="str">
        <f t="shared" si="7"/>
        <v>Bæta við grænmeti – lækka próteinkostnað</v>
      </c>
    </row>
    <row r="15" spans="1:13">
      <c r="A15" s="316" t="s">
        <v>1063</v>
      </c>
      <c r="B15" s="317">
        <f>SUMIF(Hraefnaskra[Réttur],$A15,Hraefnaskra[Magn (g)])/1000</f>
        <v>100</v>
      </c>
      <c r="C15" s="317">
        <f>(SUMIFS(Hraefnaskra[Magn (g)],Hraefnaskra[Réttur],$A15,Hraefnaskra[Vöruflokkur],"Grænmeti*")+SUMIFS(Hraefnaskra[Magn (g)],Hraefnaskra[Réttur],$A15,Hraefnaskra[Vöruflokkur],"Ávextir*")+SUMIFS(Hraefnaskra[Magn (g)],Hraefnaskra[Réttur],$A15,Hraefnaskra[Vöruflokkur],"Frosnar blöndur*"))/1000</f>
        <v>11</v>
      </c>
      <c r="D15" s="318">
        <f t="shared" si="0"/>
        <v>0.11</v>
      </c>
      <c r="E15" s="317">
        <f>(SUMIFS(Hraefnaskra[Magn (g)],Hraefnaskra[Réttur],$A15,Hraefnaskra[Vöruflokkur],"Kjöt*")+SUMIFS(Hraefnaskra[Magn (g)],Hraefnaskra[Réttur],$A15,Hraefnaskra[Vöruflokkur],"Fiskur*")+SUMIFS(Hraefnaskra[Magn (g)],Hraefnaskra[Réttur],$A15,Hraefnaskra[Vöruflokkur],"Plöntubasað*"))/1000</f>
        <v>25</v>
      </c>
      <c r="F15" s="318">
        <f t="shared" si="1"/>
        <v>0.25</v>
      </c>
      <c r="G15" s="319">
        <f>SUMIF(Hraefnaskra[Réttur],$A15,Hraefnaskra[Kostnaður (kr)])</f>
        <v>82202</v>
      </c>
      <c r="H15" s="319">
        <f t="shared" si="2"/>
        <v>822.02</v>
      </c>
      <c r="I15" s="319">
        <f t="shared" si="3"/>
        <v>246.60599999999999</v>
      </c>
      <c r="J15" s="318">
        <f t="shared" si="4"/>
        <v>0.21443999999999999</v>
      </c>
      <c r="K15" s="320" t="str">
        <f t="shared" si="5"/>
        <v>Nei</v>
      </c>
      <c r="L15" s="320" t="str">
        <f t="shared" si="6"/>
        <v>Já</v>
      </c>
      <c r="M15" s="320" t="str">
        <f t="shared" si="7"/>
        <v>Undir grænmetismarkmiði</v>
      </c>
    </row>
    <row r="16" spans="1:13">
      <c r="A16" s="316" t="s">
        <v>1487</v>
      </c>
      <c r="B16" s="317">
        <f>SUMIF(Hraefnaskra[Réttur],$A16,Hraefnaskra[Magn (g)])/1000</f>
        <v>65</v>
      </c>
      <c r="C16" s="317">
        <f>(SUMIFS(Hraefnaskra[Magn (g)],Hraefnaskra[Réttur],$A16,Hraefnaskra[Vöruflokkur],"Grænmeti*")+SUMIFS(Hraefnaskra[Magn (g)],Hraefnaskra[Réttur],$A16,Hraefnaskra[Vöruflokkur],"Ávextir*")+SUMIFS(Hraefnaskra[Magn (g)],Hraefnaskra[Réttur],$A16,Hraefnaskra[Vöruflokkur],"Frosnar blöndur*"))/1000</f>
        <v>14</v>
      </c>
      <c r="D16" s="318">
        <f t="shared" si="0"/>
        <v>0.2153846153846154</v>
      </c>
      <c r="E16" s="317">
        <f>(SUMIFS(Hraefnaskra[Magn (g)],Hraefnaskra[Réttur],$A16,Hraefnaskra[Vöruflokkur],"Kjöt*")+SUMIFS(Hraefnaskra[Magn (g)],Hraefnaskra[Réttur],$A16,Hraefnaskra[Vöruflokkur],"Fiskur*")+SUMIFS(Hraefnaskra[Magn (g)],Hraefnaskra[Réttur],$A16,Hraefnaskra[Vöruflokkur],"Plöntubasað*"))/1000</f>
        <v>0</v>
      </c>
      <c r="F16" s="318">
        <f t="shared" si="1"/>
        <v>0</v>
      </c>
      <c r="G16" s="319">
        <f>SUMIF(Hraefnaskra[Réttur],$A16,Hraefnaskra[Kostnaður (kr)])</f>
        <v>50669.2</v>
      </c>
      <c r="H16" s="319">
        <f t="shared" si="2"/>
        <v>779.52615384615376</v>
      </c>
      <c r="I16" s="319">
        <f t="shared" si="3"/>
        <v>233.85784615384611</v>
      </c>
      <c r="J16" s="318">
        <f t="shared" si="4"/>
        <v>0.20335464882943141</v>
      </c>
      <c r="K16" s="320" t="str">
        <f t="shared" si="5"/>
        <v>Nei</v>
      </c>
      <c r="L16" s="320" t="str">
        <f t="shared" si="6"/>
        <v>Já</v>
      </c>
      <c r="M16" s="320" t="str">
        <f t="shared" si="7"/>
        <v>Undir grænmetismarkmiði</v>
      </c>
    </row>
    <row r="17" spans="1:13">
      <c r="A17" s="316" t="s">
        <v>1493</v>
      </c>
      <c r="B17" s="317">
        <f>SUMIF(Hraefnaskra[Réttur],$A17,Hraefnaskra[Magn (g)])/1000</f>
        <v>90.676000000000002</v>
      </c>
      <c r="C17" s="317">
        <f>(SUMIFS(Hraefnaskra[Magn (g)],Hraefnaskra[Réttur],$A17,Hraefnaskra[Vöruflokkur],"Grænmeti*")+SUMIFS(Hraefnaskra[Magn (g)],Hraefnaskra[Réttur],$A17,Hraefnaskra[Vöruflokkur],"Ávextir*")+SUMIFS(Hraefnaskra[Magn (g)],Hraefnaskra[Réttur],$A17,Hraefnaskra[Vöruflokkur],"Frosnar blöndur*"))/1000</f>
        <v>15.15</v>
      </c>
      <c r="D17" s="318">
        <f t="shared" si="0"/>
        <v>0.16707838898936875</v>
      </c>
      <c r="E17" s="317">
        <f>(SUMIFS(Hraefnaskra[Magn (g)],Hraefnaskra[Réttur],$A17,Hraefnaskra[Vöruflokkur],"Kjöt*")+SUMIFS(Hraefnaskra[Magn (g)],Hraefnaskra[Réttur],$A17,Hraefnaskra[Vöruflokkur],"Fiskur*")+SUMIFS(Hraefnaskra[Magn (g)],Hraefnaskra[Réttur],$A17,Hraefnaskra[Vöruflokkur],"Plöntubasað*"))/1000</f>
        <v>0</v>
      </c>
      <c r="F17" s="318">
        <f t="shared" si="1"/>
        <v>0</v>
      </c>
      <c r="G17" s="319">
        <f>SUMIF(Hraefnaskra[Réttur],$A17,Hraefnaskra[Kostnaður (kr)])</f>
        <v>19312.599999999999</v>
      </c>
      <c r="H17" s="319">
        <f t="shared" si="2"/>
        <v>212.98469275221666</v>
      </c>
      <c r="I17" s="319">
        <f t="shared" si="3"/>
        <v>63.895407825664996</v>
      </c>
      <c r="J17" s="318">
        <f t="shared" si="4"/>
        <v>5.5561224196230434E-2</v>
      </c>
      <c r="K17" s="320" t="str">
        <f t="shared" si="5"/>
        <v>Nei</v>
      </c>
      <c r="L17" s="320" t="str">
        <f t="shared" si="6"/>
        <v>Já</v>
      </c>
      <c r="M17" s="320" t="str">
        <f t="shared" si="7"/>
        <v>Undir grænmetismarkmiði</v>
      </c>
    </row>
    <row r="18" spans="1:13">
      <c r="A18" s="316" t="s">
        <v>1498</v>
      </c>
      <c r="B18" s="317">
        <f>SUMIF(Hraefnaskra[Réttur],$A18,Hraefnaskra[Magn (g)])/1000</f>
        <v>99.5</v>
      </c>
      <c r="C18" s="317">
        <f>(SUMIFS(Hraefnaskra[Magn (g)],Hraefnaskra[Réttur],$A18,Hraefnaskra[Vöruflokkur],"Grænmeti*")+SUMIFS(Hraefnaskra[Magn (g)],Hraefnaskra[Réttur],$A18,Hraefnaskra[Vöruflokkur],"Ávextir*")+SUMIFS(Hraefnaskra[Magn (g)],Hraefnaskra[Réttur],$A18,Hraefnaskra[Vöruflokkur],"Frosnar blöndur*"))/1000</f>
        <v>40.5</v>
      </c>
      <c r="D18" s="318">
        <f t="shared" si="0"/>
        <v>0.40703517587939697</v>
      </c>
      <c r="E18" s="317">
        <f>(SUMIFS(Hraefnaskra[Magn (g)],Hraefnaskra[Réttur],$A18,Hraefnaskra[Vöruflokkur],"Kjöt*")+SUMIFS(Hraefnaskra[Magn (g)],Hraefnaskra[Réttur],$A18,Hraefnaskra[Vöruflokkur],"Fiskur*")+SUMIFS(Hraefnaskra[Magn (g)],Hraefnaskra[Réttur],$A18,Hraefnaskra[Vöruflokkur],"Plöntubasað*"))/1000</f>
        <v>50</v>
      </c>
      <c r="F18" s="318">
        <f t="shared" si="1"/>
        <v>0.50251256281407031</v>
      </c>
      <c r="G18" s="319">
        <f>SUMIF(Hraefnaskra[Réttur],$A18,Hraefnaskra[Kostnaður (kr)])</f>
        <v>105291.68</v>
      </c>
      <c r="H18" s="319">
        <f t="shared" si="2"/>
        <v>1058.2078391959799</v>
      </c>
      <c r="I18" s="319">
        <f t="shared" si="3"/>
        <v>317.46235175879394</v>
      </c>
      <c r="J18" s="318">
        <f t="shared" si="4"/>
        <v>0.27605421892069038</v>
      </c>
      <c r="K18" s="320" t="str">
        <f t="shared" si="5"/>
        <v>Nei</v>
      </c>
      <c r="L18" s="320" t="str">
        <f t="shared" si="6"/>
        <v>Já</v>
      </c>
      <c r="M18" s="320" t="str">
        <f t="shared" si="7"/>
        <v>Undir grænmetismarkmiði</v>
      </c>
    </row>
    <row r="19" spans="1:13">
      <c r="A19" s="316" t="s">
        <v>851</v>
      </c>
      <c r="B19" s="317">
        <f>SUMIF(Hraefnaskra[Réttur],$A19,Hraefnaskra[Magn (g)])/1000</f>
        <v>115.5</v>
      </c>
      <c r="C19" s="317">
        <f>(SUMIFS(Hraefnaskra[Magn (g)],Hraefnaskra[Réttur],$A19,Hraefnaskra[Vöruflokkur],"Grænmeti*")+SUMIFS(Hraefnaskra[Magn (g)],Hraefnaskra[Réttur],$A19,Hraefnaskra[Vöruflokkur],"Ávextir*")+SUMIFS(Hraefnaskra[Magn (g)],Hraefnaskra[Réttur],$A19,Hraefnaskra[Vöruflokkur],"Frosnar blöndur*"))/1000</f>
        <v>10.5</v>
      </c>
      <c r="D19" s="318">
        <f t="shared" si="0"/>
        <v>9.0909090909090912E-2</v>
      </c>
      <c r="E19" s="317">
        <f>(SUMIFS(Hraefnaskra[Magn (g)],Hraefnaskra[Réttur],$A19,Hraefnaskra[Vöruflokkur],"Kjöt*")+SUMIFS(Hraefnaskra[Magn (g)],Hraefnaskra[Réttur],$A19,Hraefnaskra[Vöruflokkur],"Fiskur*")+SUMIFS(Hraefnaskra[Magn (g)],Hraefnaskra[Réttur],$A19,Hraefnaskra[Vöruflokkur],"Plöntubasað*"))/1000</f>
        <v>35</v>
      </c>
      <c r="F19" s="318">
        <f t="shared" si="1"/>
        <v>0.30303030303030304</v>
      </c>
      <c r="G19" s="319">
        <f>SUMIF(Hraefnaskra[Réttur],$A19,Hraefnaskra[Kostnaður (kr)])</f>
        <v>99932.5</v>
      </c>
      <c r="H19" s="319">
        <f t="shared" si="2"/>
        <v>865.2164502164502</v>
      </c>
      <c r="I19" s="319">
        <f t="shared" si="3"/>
        <v>259.56493506493507</v>
      </c>
      <c r="J19" s="318">
        <f t="shared" si="4"/>
        <v>0.22570863918690007</v>
      </c>
      <c r="K19" s="320" t="str">
        <f t="shared" si="5"/>
        <v>Nei</v>
      </c>
      <c r="L19" s="320" t="str">
        <f t="shared" si="6"/>
        <v>Já</v>
      </c>
      <c r="M19" s="320" t="str">
        <f t="shared" si="7"/>
        <v>Undir grænmetismarkmiði</v>
      </c>
    </row>
    <row r="20" spans="1:13">
      <c r="A20" s="316" t="s">
        <v>856</v>
      </c>
      <c r="B20" s="317">
        <f>SUMIF(Hraefnaskra[Réttur],$A20,Hraefnaskra[Magn (g)])/1000</f>
        <v>108.75</v>
      </c>
      <c r="C20" s="317">
        <f>(SUMIFS(Hraefnaskra[Magn (g)],Hraefnaskra[Réttur],$A20,Hraefnaskra[Vöruflokkur],"Grænmeti*")+SUMIFS(Hraefnaskra[Magn (g)],Hraefnaskra[Réttur],$A20,Hraefnaskra[Vöruflokkur],"Ávextir*")+SUMIFS(Hraefnaskra[Magn (g)],Hraefnaskra[Réttur],$A20,Hraefnaskra[Vöruflokkur],"Frosnar blöndur*"))/1000</f>
        <v>48</v>
      </c>
      <c r="D20" s="318">
        <f t="shared" si="0"/>
        <v>0.44137931034482758</v>
      </c>
      <c r="E20" s="317">
        <f>(SUMIFS(Hraefnaskra[Magn (g)],Hraefnaskra[Réttur],$A20,Hraefnaskra[Vöruflokkur],"Kjöt*")+SUMIFS(Hraefnaskra[Magn (g)],Hraefnaskra[Réttur],$A20,Hraefnaskra[Vöruflokkur],"Fiskur*")+SUMIFS(Hraefnaskra[Magn (g)],Hraefnaskra[Réttur],$A20,Hraefnaskra[Vöruflokkur],"Plöntubasað*"))/1000</f>
        <v>30</v>
      </c>
      <c r="F20" s="318">
        <f t="shared" si="1"/>
        <v>0.27586206896551724</v>
      </c>
      <c r="G20" s="319">
        <f>SUMIF(Hraefnaskra[Réttur],$A20,Hraefnaskra[Kostnaður (kr)])</f>
        <v>81399.399999999994</v>
      </c>
      <c r="H20" s="319">
        <f t="shared" si="2"/>
        <v>748.50022988505737</v>
      </c>
      <c r="I20" s="319">
        <f t="shared" si="3"/>
        <v>224.5500689655172</v>
      </c>
      <c r="J20" s="318">
        <f t="shared" si="4"/>
        <v>0.19526092953523236</v>
      </c>
      <c r="K20" s="320" t="str">
        <f t="shared" si="5"/>
        <v>Nei</v>
      </c>
      <c r="L20" s="320" t="str">
        <f t="shared" si="6"/>
        <v>Já</v>
      </c>
      <c r="M20" s="320" t="str">
        <f t="shared" si="7"/>
        <v>Undir grænmetismarkmiði</v>
      </c>
    </row>
    <row r="21" spans="1:13">
      <c r="A21" s="316" t="s">
        <v>1514</v>
      </c>
      <c r="B21" s="317">
        <f>SUMIF(Hraefnaskra[Réttur],$A21,Hraefnaskra[Magn (g)])/1000</f>
        <v>75.2</v>
      </c>
      <c r="C21" s="317">
        <f>(SUMIFS(Hraefnaskra[Magn (g)],Hraefnaskra[Réttur],$A21,Hraefnaskra[Vöruflokkur],"Grænmeti*")+SUMIFS(Hraefnaskra[Magn (g)],Hraefnaskra[Réttur],$A21,Hraefnaskra[Vöruflokkur],"Ávextir*")+SUMIFS(Hraefnaskra[Magn (g)],Hraefnaskra[Réttur],$A21,Hraefnaskra[Vöruflokkur],"Frosnar blöndur*"))/1000</f>
        <v>15</v>
      </c>
      <c r="D21" s="318">
        <f t="shared" si="0"/>
        <v>0.19946808510638298</v>
      </c>
      <c r="E21" s="317">
        <f>(SUMIFS(Hraefnaskra[Magn (g)],Hraefnaskra[Réttur],$A21,Hraefnaskra[Vöruflokkur],"Kjöt*")+SUMIFS(Hraefnaskra[Magn (g)],Hraefnaskra[Réttur],$A21,Hraefnaskra[Vöruflokkur],"Fiskur*")+SUMIFS(Hraefnaskra[Magn (g)],Hraefnaskra[Réttur],$A21,Hraefnaskra[Vöruflokkur],"Plöntubasað*"))/1000</f>
        <v>25</v>
      </c>
      <c r="F21" s="318">
        <f t="shared" si="1"/>
        <v>0.33244680851063829</v>
      </c>
      <c r="G21" s="319">
        <f>SUMIF(Hraefnaskra[Réttur],$A21,Hraefnaskra[Kostnaður (kr)])</f>
        <v>90379.4</v>
      </c>
      <c r="H21" s="319">
        <f t="shared" si="2"/>
        <v>1201.8537234042551</v>
      </c>
      <c r="I21" s="319">
        <f t="shared" si="3"/>
        <v>360.55611702127652</v>
      </c>
      <c r="J21" s="318">
        <f t="shared" si="4"/>
        <v>0.31352705827937088</v>
      </c>
      <c r="K21" s="320" t="str">
        <f t="shared" si="5"/>
        <v>Nei</v>
      </c>
      <c r="L21" s="320" t="str">
        <f t="shared" si="6"/>
        <v>Nei</v>
      </c>
      <c r="M21" s="320" t="str">
        <f t="shared" si="7"/>
        <v>Bæta við grænmeti – lækka próteinkostnað</v>
      </c>
    </row>
    <row r="22" spans="1:13">
      <c r="A22" s="316" t="s">
        <v>1520</v>
      </c>
      <c r="B22" s="317">
        <f>SUMIF(Hraefnaskra[Réttur],$A22,Hraefnaskra[Magn (g)])/1000</f>
        <v>63.2</v>
      </c>
      <c r="C22" s="317">
        <f>(SUMIFS(Hraefnaskra[Magn (g)],Hraefnaskra[Réttur],$A22,Hraefnaskra[Vöruflokkur],"Grænmeti*")+SUMIFS(Hraefnaskra[Magn (g)],Hraefnaskra[Réttur],$A22,Hraefnaskra[Vöruflokkur],"Ávextir*")+SUMIFS(Hraefnaskra[Magn (g)],Hraefnaskra[Réttur],$A22,Hraefnaskra[Vöruflokkur],"Frosnar blöndur*"))/1000</f>
        <v>16</v>
      </c>
      <c r="D22" s="318">
        <f t="shared" si="0"/>
        <v>0.25316455696202528</v>
      </c>
      <c r="E22" s="317">
        <f>(SUMIFS(Hraefnaskra[Magn (g)],Hraefnaskra[Réttur],$A22,Hraefnaskra[Vöruflokkur],"Kjöt*")+SUMIFS(Hraefnaskra[Magn (g)],Hraefnaskra[Réttur],$A22,Hraefnaskra[Vöruflokkur],"Fiskur*")+SUMIFS(Hraefnaskra[Magn (g)],Hraefnaskra[Réttur],$A22,Hraefnaskra[Vöruflokkur],"Plöntubasað*"))/1000</f>
        <v>25</v>
      </c>
      <c r="F22" s="318">
        <f t="shared" si="1"/>
        <v>0.39556962025316456</v>
      </c>
      <c r="G22" s="319">
        <f>SUMIF(Hraefnaskra[Réttur],$A22,Hraefnaskra[Kostnaður (kr)])</f>
        <v>30488.5</v>
      </c>
      <c r="H22" s="319">
        <f t="shared" si="2"/>
        <v>482.41297468354429</v>
      </c>
      <c r="I22" s="319">
        <f t="shared" si="3"/>
        <v>144.72389240506328</v>
      </c>
      <c r="J22" s="318">
        <f t="shared" si="4"/>
        <v>0.12584686296092459</v>
      </c>
      <c r="K22" s="320" t="str">
        <f t="shared" si="5"/>
        <v>Nei</v>
      </c>
      <c r="L22" s="320" t="str">
        <f t="shared" si="6"/>
        <v>Já</v>
      </c>
      <c r="M22" s="320" t="str">
        <f t="shared" si="7"/>
        <v>Undir grænmetismarkmiði</v>
      </c>
    </row>
    <row r="23" spans="1:13">
      <c r="A23" s="316" t="s">
        <v>1525</v>
      </c>
      <c r="B23" s="317">
        <f>SUMIF(Hraefnaskra[Réttur],$A23,Hraefnaskra[Magn (g)])/1000</f>
        <v>100</v>
      </c>
      <c r="C23" s="317">
        <f>(SUMIFS(Hraefnaskra[Magn (g)],Hraefnaskra[Réttur],$A23,Hraefnaskra[Vöruflokkur],"Grænmeti*")+SUMIFS(Hraefnaskra[Magn (g)],Hraefnaskra[Réttur],$A23,Hraefnaskra[Vöruflokkur],"Ávextir*")+SUMIFS(Hraefnaskra[Magn (g)],Hraefnaskra[Réttur],$A23,Hraefnaskra[Vöruflokkur],"Frosnar blöndur*"))/1000</f>
        <v>0</v>
      </c>
      <c r="D23" s="318">
        <f t="shared" si="0"/>
        <v>0</v>
      </c>
      <c r="E23" s="317">
        <f>(SUMIFS(Hraefnaskra[Magn (g)],Hraefnaskra[Réttur],$A23,Hraefnaskra[Vöruflokkur],"Kjöt*")+SUMIFS(Hraefnaskra[Magn (g)],Hraefnaskra[Réttur],$A23,Hraefnaskra[Vöruflokkur],"Fiskur*")+SUMIFS(Hraefnaskra[Magn (g)],Hraefnaskra[Réttur],$A23,Hraefnaskra[Vöruflokkur],"Plöntubasað*"))/1000</f>
        <v>53.3</v>
      </c>
      <c r="F23" s="318">
        <f t="shared" si="1"/>
        <v>0.53299999999999992</v>
      </c>
      <c r="G23" s="319">
        <f>SUMIF(Hraefnaskra[Réttur],$A23,Hraefnaskra[Kostnaður (kr)])</f>
        <v>151803.20000000001</v>
      </c>
      <c r="H23" s="319">
        <f t="shared" si="2"/>
        <v>1518.0320000000002</v>
      </c>
      <c r="I23" s="319">
        <f t="shared" si="3"/>
        <v>455.40960000000001</v>
      </c>
      <c r="J23" s="318">
        <f t="shared" si="4"/>
        <v>0.39600834782608696</v>
      </c>
      <c r="K23" s="320" t="str">
        <f t="shared" si="5"/>
        <v>Nei</v>
      </c>
      <c r="L23" s="320" t="str">
        <f t="shared" si="6"/>
        <v>Nei</v>
      </c>
      <c r="M23" s="320" t="str">
        <f t="shared" si="7"/>
        <v>Bæta við grænmeti – lækka próteinkostnað</v>
      </c>
    </row>
    <row r="24" spans="1:13">
      <c r="A24" s="316" t="s">
        <v>1531</v>
      </c>
      <c r="B24" s="317">
        <f>SUMIF(Hraefnaskra[Réttur],$A24,Hraefnaskra[Magn (g)])/1000</f>
        <v>100</v>
      </c>
      <c r="C24" s="317">
        <f>(SUMIFS(Hraefnaskra[Magn (g)],Hraefnaskra[Réttur],$A24,Hraefnaskra[Vöruflokkur],"Grænmeti*")+SUMIFS(Hraefnaskra[Magn (g)],Hraefnaskra[Réttur],$A24,Hraefnaskra[Vöruflokkur],"Ávextir*")+SUMIFS(Hraefnaskra[Magn (g)],Hraefnaskra[Réttur],$A24,Hraefnaskra[Vöruflokkur],"Frosnar blöndur*"))/1000</f>
        <v>11.05</v>
      </c>
      <c r="D24" s="318">
        <f t="shared" si="0"/>
        <v>0.1105</v>
      </c>
      <c r="E24" s="317">
        <f>(SUMIFS(Hraefnaskra[Magn (g)],Hraefnaskra[Réttur],$A24,Hraefnaskra[Vöruflokkur],"Kjöt*")+SUMIFS(Hraefnaskra[Magn (g)],Hraefnaskra[Réttur],$A24,Hraefnaskra[Vöruflokkur],"Fiskur*")+SUMIFS(Hraefnaskra[Magn (g)],Hraefnaskra[Réttur],$A24,Hraefnaskra[Vöruflokkur],"Plöntubasað*"))/1000</f>
        <v>39</v>
      </c>
      <c r="F24" s="318">
        <f t="shared" si="1"/>
        <v>0.39</v>
      </c>
      <c r="G24" s="319">
        <f>SUMIF(Hraefnaskra[Réttur],$A24,Hraefnaskra[Kostnaður (kr)])</f>
        <v>99631.88</v>
      </c>
      <c r="H24" s="319">
        <f t="shared" si="2"/>
        <v>996.31880000000001</v>
      </c>
      <c r="I24" s="319">
        <f t="shared" si="3"/>
        <v>298.89564000000001</v>
      </c>
      <c r="J24" s="318">
        <f t="shared" si="4"/>
        <v>0.25990925217391303</v>
      </c>
      <c r="K24" s="320" t="str">
        <f t="shared" si="5"/>
        <v>Nei</v>
      </c>
      <c r="L24" s="320" t="str">
        <f t="shared" si="6"/>
        <v>Já</v>
      </c>
      <c r="M24" s="320" t="str">
        <f t="shared" si="7"/>
        <v>Undir grænmetismarkmiði</v>
      </c>
    </row>
    <row r="25" spans="1:13">
      <c r="A25" s="316" t="s">
        <v>1536</v>
      </c>
      <c r="B25" s="317">
        <f>SUMIF(Hraefnaskra[Réttur],$A25,Hraefnaskra[Magn (g)])/1000</f>
        <v>100</v>
      </c>
      <c r="C25" s="317">
        <f>(SUMIFS(Hraefnaskra[Magn (g)],Hraefnaskra[Réttur],$A25,Hraefnaskra[Vöruflokkur],"Grænmeti*")+SUMIFS(Hraefnaskra[Magn (g)],Hraefnaskra[Réttur],$A25,Hraefnaskra[Vöruflokkur],"Ávextir*")+SUMIFS(Hraefnaskra[Magn (g)],Hraefnaskra[Réttur],$A25,Hraefnaskra[Vöruflokkur],"Frosnar blöndur*"))/1000</f>
        <v>18.600000000000001</v>
      </c>
      <c r="D25" s="318">
        <f t="shared" si="0"/>
        <v>0.18600000000000003</v>
      </c>
      <c r="E25" s="317">
        <f>(SUMIFS(Hraefnaskra[Magn (g)],Hraefnaskra[Réttur],$A25,Hraefnaskra[Vöruflokkur],"Kjöt*")+SUMIFS(Hraefnaskra[Magn (g)],Hraefnaskra[Réttur],$A25,Hraefnaskra[Vöruflokkur],"Fiskur*")+SUMIFS(Hraefnaskra[Magn (g)],Hraefnaskra[Réttur],$A25,Hraefnaskra[Vöruflokkur],"Plöntubasað*"))/1000</f>
        <v>46.7</v>
      </c>
      <c r="F25" s="318">
        <f t="shared" si="1"/>
        <v>0.46700000000000003</v>
      </c>
      <c r="G25" s="319">
        <f>SUMIF(Hraefnaskra[Réttur],$A25,Hraefnaskra[Kostnaður (kr)])</f>
        <v>149902.05000000002</v>
      </c>
      <c r="H25" s="319">
        <f t="shared" si="2"/>
        <v>1499.0205000000001</v>
      </c>
      <c r="I25" s="319">
        <f t="shared" si="3"/>
        <v>449.70615000000004</v>
      </c>
      <c r="J25" s="318">
        <f t="shared" si="4"/>
        <v>0.39104882608695657</v>
      </c>
      <c r="K25" s="320" t="str">
        <f t="shared" si="5"/>
        <v>Nei</v>
      </c>
      <c r="L25" s="320" t="str">
        <f t="shared" si="6"/>
        <v>Nei</v>
      </c>
      <c r="M25" s="320" t="str">
        <f t="shared" si="7"/>
        <v>Bæta við grænmeti – lækka próteinkostnað</v>
      </c>
    </row>
    <row r="26" spans="1:13">
      <c r="A26" s="316" t="s">
        <v>1542</v>
      </c>
      <c r="B26" s="317">
        <f>SUMIF(Hraefnaskra[Réttur],$A26,Hraefnaskra[Magn (g)])/1000</f>
        <v>100</v>
      </c>
      <c r="C26" s="317">
        <f>(SUMIFS(Hraefnaskra[Magn (g)],Hraefnaskra[Réttur],$A26,Hraefnaskra[Vöruflokkur],"Grænmeti*")+SUMIFS(Hraefnaskra[Magn (g)],Hraefnaskra[Réttur],$A26,Hraefnaskra[Vöruflokkur],"Ávextir*")+SUMIFS(Hraefnaskra[Magn (g)],Hraefnaskra[Réttur],$A26,Hraefnaskra[Vöruflokkur],"Frosnar blöndur*"))/1000</f>
        <v>19.13</v>
      </c>
      <c r="D26" s="318">
        <f t="shared" si="0"/>
        <v>0.1913</v>
      </c>
      <c r="E26" s="317">
        <f>(SUMIFS(Hraefnaskra[Magn (g)],Hraefnaskra[Réttur],$A26,Hraefnaskra[Vöruflokkur],"Kjöt*")+SUMIFS(Hraefnaskra[Magn (g)],Hraefnaskra[Réttur],$A26,Hraefnaskra[Vöruflokkur],"Fiskur*")+SUMIFS(Hraefnaskra[Magn (g)],Hraefnaskra[Réttur],$A26,Hraefnaskra[Vöruflokkur],"Plöntubasað*"))/1000</f>
        <v>50</v>
      </c>
      <c r="F26" s="318">
        <f t="shared" si="1"/>
        <v>0.5</v>
      </c>
      <c r="G26" s="319">
        <f>SUMIF(Hraefnaskra[Réttur],$A26,Hraefnaskra[Kostnaður (kr)])</f>
        <v>122186.70000000001</v>
      </c>
      <c r="H26" s="319">
        <f t="shared" si="2"/>
        <v>1221.8670000000002</v>
      </c>
      <c r="I26" s="319">
        <f t="shared" si="3"/>
        <v>366.56010000000003</v>
      </c>
      <c r="J26" s="318">
        <f t="shared" si="4"/>
        <v>0.31874791304347827</v>
      </c>
      <c r="K26" s="320" t="str">
        <f t="shared" si="5"/>
        <v>Nei</v>
      </c>
      <c r="L26" s="320" t="str">
        <f t="shared" si="6"/>
        <v>Nei</v>
      </c>
      <c r="M26" s="320" t="str">
        <f t="shared" si="7"/>
        <v>Bæta við grænmeti – lækka próteinkostnað</v>
      </c>
    </row>
    <row r="27" spans="1:13">
      <c r="A27" s="316" t="s">
        <v>1548</v>
      </c>
      <c r="B27" s="317">
        <f>SUMIF(Hraefnaskra[Réttur],$A27,Hraefnaskra[Magn (g)])/1000</f>
        <v>100</v>
      </c>
      <c r="C27" s="317">
        <f>(SUMIFS(Hraefnaskra[Magn (g)],Hraefnaskra[Réttur],$A27,Hraefnaskra[Vöruflokkur],"Grænmeti*")+SUMIFS(Hraefnaskra[Magn (g)],Hraefnaskra[Réttur],$A27,Hraefnaskra[Vöruflokkur],"Ávextir*")+SUMIFS(Hraefnaskra[Magn (g)],Hraefnaskra[Réttur],$A27,Hraefnaskra[Vöruflokkur],"Frosnar blöndur*"))/1000</f>
        <v>1.3</v>
      </c>
      <c r="D27" s="318">
        <f t="shared" si="0"/>
        <v>1.3000000000000001E-2</v>
      </c>
      <c r="E27" s="317">
        <f>(SUMIFS(Hraefnaskra[Magn (g)],Hraefnaskra[Réttur],$A27,Hraefnaskra[Vöruflokkur],"Kjöt*")+SUMIFS(Hraefnaskra[Magn (g)],Hraefnaskra[Réttur],$A27,Hraefnaskra[Vöruflokkur],"Fiskur*")+SUMIFS(Hraefnaskra[Magn (g)],Hraefnaskra[Réttur],$A27,Hraefnaskra[Vöruflokkur],"Plöntubasað*"))/1000</f>
        <v>90</v>
      </c>
      <c r="F27" s="318">
        <f t="shared" si="1"/>
        <v>0.9</v>
      </c>
      <c r="G27" s="319">
        <f>SUMIF(Hraefnaskra[Réttur],$A27,Hraefnaskra[Kostnaður (kr)])</f>
        <v>227255.59999999998</v>
      </c>
      <c r="H27" s="319">
        <f t="shared" si="2"/>
        <v>2272.5559999999996</v>
      </c>
      <c r="I27" s="319">
        <f t="shared" si="3"/>
        <v>681.76679999999988</v>
      </c>
      <c r="J27" s="318">
        <f t="shared" si="4"/>
        <v>0.59284069565217379</v>
      </c>
      <c r="K27" s="320" t="str">
        <f t="shared" si="5"/>
        <v>Nei</v>
      </c>
      <c r="L27" s="320" t="str">
        <f t="shared" si="6"/>
        <v>Nei</v>
      </c>
      <c r="M27" s="320" t="str">
        <f t="shared" si="7"/>
        <v>Bæta við grænmeti – lækka próteinkostnað</v>
      </c>
    </row>
    <row r="28" spans="1:13">
      <c r="A28" s="316" t="s">
        <v>1554</v>
      </c>
      <c r="B28" s="317">
        <f>SUMIF(Hraefnaskra[Réttur],$A28,Hraefnaskra[Magn (g)])/1000</f>
        <v>100</v>
      </c>
      <c r="C28" s="317">
        <f>(SUMIFS(Hraefnaskra[Magn (g)],Hraefnaskra[Réttur],$A28,Hraefnaskra[Vöruflokkur],"Grænmeti*")+SUMIFS(Hraefnaskra[Magn (g)],Hraefnaskra[Réttur],$A28,Hraefnaskra[Vöruflokkur],"Ávextir*")+SUMIFS(Hraefnaskra[Magn (g)],Hraefnaskra[Réttur],$A28,Hraefnaskra[Vöruflokkur],"Frosnar blöndur*"))/1000</f>
        <v>23.13</v>
      </c>
      <c r="D28" s="318">
        <f t="shared" si="0"/>
        <v>0.23129999999999998</v>
      </c>
      <c r="E28" s="317">
        <f>(SUMIFS(Hraefnaskra[Magn (g)],Hraefnaskra[Réttur],$A28,Hraefnaskra[Vöruflokkur],"Kjöt*")+SUMIFS(Hraefnaskra[Magn (g)],Hraefnaskra[Réttur],$A28,Hraefnaskra[Vöruflokkur],"Fiskur*")+SUMIFS(Hraefnaskra[Magn (g)],Hraefnaskra[Réttur],$A28,Hraefnaskra[Vöruflokkur],"Plöntubasað*"))/1000</f>
        <v>0</v>
      </c>
      <c r="F28" s="318">
        <f t="shared" si="1"/>
        <v>0</v>
      </c>
      <c r="G28" s="319">
        <f>SUMIF(Hraefnaskra[Réttur],$A28,Hraefnaskra[Kostnaður (kr)])</f>
        <v>22445.929999999997</v>
      </c>
      <c r="H28" s="319">
        <f t="shared" si="2"/>
        <v>224.45929999999996</v>
      </c>
      <c r="I28" s="319">
        <f t="shared" si="3"/>
        <v>67.337789999999984</v>
      </c>
      <c r="J28" s="318">
        <f t="shared" si="4"/>
        <v>5.8554599999999984E-2</v>
      </c>
      <c r="K28" s="320" t="str">
        <f t="shared" si="5"/>
        <v>Nei</v>
      </c>
      <c r="L28" s="320" t="str">
        <f t="shared" si="6"/>
        <v>Já</v>
      </c>
      <c r="M28" s="320" t="str">
        <f t="shared" si="7"/>
        <v>Undir grænmetismarkmiði</v>
      </c>
    </row>
    <row r="29" spans="1:13">
      <c r="A29" s="316" t="s">
        <v>1560</v>
      </c>
      <c r="B29" s="317">
        <f>SUMIF(Hraefnaskra[Réttur],$A29,Hraefnaskra[Magn (g)])/1000</f>
        <v>100</v>
      </c>
      <c r="C29" s="317">
        <f>(SUMIFS(Hraefnaskra[Magn (g)],Hraefnaskra[Réttur],$A29,Hraefnaskra[Vöruflokkur],"Grænmeti*")+SUMIFS(Hraefnaskra[Magn (g)],Hraefnaskra[Réttur],$A29,Hraefnaskra[Vöruflokkur],"Ávextir*")+SUMIFS(Hraefnaskra[Magn (g)],Hraefnaskra[Réttur],$A29,Hraefnaskra[Vöruflokkur],"Frosnar blöndur*"))/1000</f>
        <v>37.5</v>
      </c>
      <c r="D29" s="318">
        <f t="shared" si="0"/>
        <v>0.375</v>
      </c>
      <c r="E29" s="317">
        <f>(SUMIFS(Hraefnaskra[Magn (g)],Hraefnaskra[Réttur],$A29,Hraefnaskra[Vöruflokkur],"Kjöt*")+SUMIFS(Hraefnaskra[Magn (g)],Hraefnaskra[Réttur],$A29,Hraefnaskra[Vöruflokkur],"Fiskur*")+SUMIFS(Hraefnaskra[Magn (g)],Hraefnaskra[Réttur],$A29,Hraefnaskra[Vöruflokkur],"Plöntubasað*"))/1000</f>
        <v>43.5</v>
      </c>
      <c r="F29" s="318">
        <f t="shared" si="1"/>
        <v>0.435</v>
      </c>
      <c r="G29" s="319">
        <f>SUMIF(Hraefnaskra[Réttur],$A29,Hraefnaskra[Kostnaður (kr)])</f>
        <v>101826.6</v>
      </c>
      <c r="H29" s="319">
        <f t="shared" si="2"/>
        <v>1018.2660000000001</v>
      </c>
      <c r="I29" s="319">
        <f t="shared" si="3"/>
        <v>305.47980000000001</v>
      </c>
      <c r="J29" s="318">
        <f t="shared" si="4"/>
        <v>0.2656346086956522</v>
      </c>
      <c r="K29" s="320" t="str">
        <f t="shared" si="5"/>
        <v>Nei</v>
      </c>
      <c r="L29" s="320" t="str">
        <f t="shared" si="6"/>
        <v>Já</v>
      </c>
      <c r="M29" s="320" t="str">
        <f t="shared" si="7"/>
        <v>Undir grænmetismarkmiði</v>
      </c>
    </row>
    <row r="30" spans="1:13">
      <c r="A30" s="316" t="s">
        <v>1566</v>
      </c>
      <c r="B30" s="317">
        <f>SUMIF(Hraefnaskra[Réttur],$A30,Hraefnaskra[Magn (g)])/1000</f>
        <v>100</v>
      </c>
      <c r="C30" s="317">
        <f>(SUMIFS(Hraefnaskra[Magn (g)],Hraefnaskra[Réttur],$A30,Hraefnaskra[Vöruflokkur],"Grænmeti*")+SUMIFS(Hraefnaskra[Magn (g)],Hraefnaskra[Réttur],$A30,Hraefnaskra[Vöruflokkur],"Ávextir*")+SUMIFS(Hraefnaskra[Magn (g)],Hraefnaskra[Réttur],$A30,Hraefnaskra[Vöruflokkur],"Frosnar blöndur*"))/1000</f>
        <v>0</v>
      </c>
      <c r="D30" s="318">
        <f t="shared" si="0"/>
        <v>0</v>
      </c>
      <c r="E30" s="317">
        <f>(SUMIFS(Hraefnaskra[Magn (g)],Hraefnaskra[Réttur],$A30,Hraefnaskra[Vöruflokkur],"Kjöt*")+SUMIFS(Hraefnaskra[Magn (g)],Hraefnaskra[Réttur],$A30,Hraefnaskra[Vöruflokkur],"Fiskur*")+SUMIFS(Hraefnaskra[Magn (g)],Hraefnaskra[Réttur],$A30,Hraefnaskra[Vöruflokkur],"Plöntubasað*"))/1000</f>
        <v>0</v>
      </c>
      <c r="F30" s="318">
        <f t="shared" si="1"/>
        <v>0</v>
      </c>
      <c r="G30" s="319">
        <f>SUMIF(Hraefnaskra[Réttur],$A30,Hraefnaskra[Kostnaður (kr)])</f>
        <v>50110</v>
      </c>
      <c r="H30" s="319">
        <f t="shared" si="2"/>
        <v>501.1</v>
      </c>
      <c r="I30" s="319">
        <f t="shared" si="3"/>
        <v>150.33000000000001</v>
      </c>
      <c r="J30" s="318">
        <f t="shared" si="4"/>
        <v>0.13072173913043481</v>
      </c>
      <c r="K30" s="320" t="str">
        <f t="shared" si="5"/>
        <v>Nei</v>
      </c>
      <c r="L30" s="320" t="str">
        <f t="shared" si="6"/>
        <v>Já</v>
      </c>
      <c r="M30" s="320" t="str">
        <f t="shared" si="7"/>
        <v>Undir grænmetismarkmiði</v>
      </c>
    </row>
    <row r="31" spans="1:13">
      <c r="A31" s="316" t="s">
        <v>1572</v>
      </c>
      <c r="B31" s="317">
        <f>SUMIF(Hraefnaskra[Réttur],$A31,Hraefnaskra[Magn (g)])/1000</f>
        <v>100</v>
      </c>
      <c r="C31" s="317">
        <f>(SUMIFS(Hraefnaskra[Magn (g)],Hraefnaskra[Réttur],$A31,Hraefnaskra[Vöruflokkur],"Grænmeti*")+SUMIFS(Hraefnaskra[Magn (g)],Hraefnaskra[Réttur],$A31,Hraefnaskra[Vöruflokkur],"Ávextir*")+SUMIFS(Hraefnaskra[Magn (g)],Hraefnaskra[Réttur],$A31,Hraefnaskra[Vöruflokkur],"Frosnar blöndur*"))/1000</f>
        <v>1.0329999999999999</v>
      </c>
      <c r="D31" s="318">
        <f t="shared" si="0"/>
        <v>1.0329999999999999E-2</v>
      </c>
      <c r="E31" s="317">
        <f>(SUMIFS(Hraefnaskra[Magn (g)],Hraefnaskra[Réttur],$A31,Hraefnaskra[Vöruflokkur],"Kjöt*")+SUMIFS(Hraefnaskra[Magn (g)],Hraefnaskra[Réttur],$A31,Hraefnaskra[Vöruflokkur],"Fiskur*")+SUMIFS(Hraefnaskra[Magn (g)],Hraefnaskra[Réttur],$A31,Hraefnaskra[Vöruflokkur],"Plöntubasað*"))/1000</f>
        <v>82.644999999999996</v>
      </c>
      <c r="F31" s="318">
        <f t="shared" si="1"/>
        <v>0.82644999999999991</v>
      </c>
      <c r="G31" s="319">
        <f>SUMIF(Hraefnaskra[Réttur],$A31,Hraefnaskra[Kostnaður (kr)])</f>
        <v>172919.89</v>
      </c>
      <c r="H31" s="319">
        <f t="shared" si="2"/>
        <v>1729.1989000000001</v>
      </c>
      <c r="I31" s="319">
        <f t="shared" si="3"/>
        <v>518.75967000000003</v>
      </c>
      <c r="J31" s="318">
        <f t="shared" si="4"/>
        <v>0.45109536521739135</v>
      </c>
      <c r="K31" s="320" t="str">
        <f t="shared" si="5"/>
        <v>Nei</v>
      </c>
      <c r="L31" s="320" t="str">
        <f t="shared" si="6"/>
        <v>Nei</v>
      </c>
      <c r="M31" s="320" t="str">
        <f t="shared" si="7"/>
        <v>Bæta við grænmeti – lækka próteinkostnað</v>
      </c>
    </row>
    <row r="32" spans="1:13">
      <c r="A32" s="316" t="s">
        <v>1577</v>
      </c>
      <c r="B32" s="317">
        <f>SUMIF(Hraefnaskra[Réttur],$A32,Hraefnaskra[Magn (g)])/1000</f>
        <v>100</v>
      </c>
      <c r="C32" s="317">
        <f>(SUMIFS(Hraefnaskra[Magn (g)],Hraefnaskra[Réttur],$A32,Hraefnaskra[Vöruflokkur],"Grænmeti*")+SUMIFS(Hraefnaskra[Magn (g)],Hraefnaskra[Réttur],$A32,Hraefnaskra[Vöruflokkur],"Ávextir*")+SUMIFS(Hraefnaskra[Magn (g)],Hraefnaskra[Réttur],$A32,Hraefnaskra[Vöruflokkur],"Frosnar blöndur*"))/1000</f>
        <v>1.712</v>
      </c>
      <c r="D32" s="318">
        <f t="shared" si="0"/>
        <v>1.712E-2</v>
      </c>
      <c r="E32" s="317">
        <f>(SUMIFS(Hraefnaskra[Magn (g)],Hraefnaskra[Réttur],$A32,Hraefnaskra[Vöruflokkur],"Kjöt*")+SUMIFS(Hraefnaskra[Magn (g)],Hraefnaskra[Réttur],$A32,Hraefnaskra[Vöruflokkur],"Fiskur*")+SUMIFS(Hraefnaskra[Magn (g)],Hraefnaskra[Réttur],$A32,Hraefnaskra[Vöruflokkur],"Plöntubasað*"))/1000</f>
        <v>91.323999999999998</v>
      </c>
      <c r="F32" s="318">
        <f t="shared" si="1"/>
        <v>0.91323999999999994</v>
      </c>
      <c r="G32" s="319">
        <f>SUMIF(Hraefnaskra[Réttur],$A32,Hraefnaskra[Kostnaður (kr)])</f>
        <v>183122.86000000002</v>
      </c>
      <c r="H32" s="319">
        <f t="shared" si="2"/>
        <v>1831.2286000000001</v>
      </c>
      <c r="I32" s="319">
        <f t="shared" si="3"/>
        <v>549.36858000000007</v>
      </c>
      <c r="J32" s="318">
        <f t="shared" si="4"/>
        <v>0.47771180869565222</v>
      </c>
      <c r="K32" s="320" t="str">
        <f t="shared" si="5"/>
        <v>Nei</v>
      </c>
      <c r="L32" s="320" t="str">
        <f t="shared" si="6"/>
        <v>Nei</v>
      </c>
      <c r="M32" s="320" t="str">
        <f t="shared" si="7"/>
        <v>Bæta við grænmeti – lækka próteinkostnað</v>
      </c>
    </row>
    <row r="33" spans="1:13">
      <c r="A33" s="316" t="s">
        <v>1582</v>
      </c>
      <c r="B33" s="317">
        <f>SUMIF(Hraefnaskra[Réttur],$A33,Hraefnaskra[Magn (g)])/1000</f>
        <v>100.001</v>
      </c>
      <c r="C33" s="317">
        <f>(SUMIFS(Hraefnaskra[Magn (g)],Hraefnaskra[Réttur],$A33,Hraefnaskra[Vöruflokkur],"Grænmeti*")+SUMIFS(Hraefnaskra[Magn (g)],Hraefnaskra[Réttur],$A33,Hraefnaskra[Vöruflokkur],"Ávextir*")+SUMIFS(Hraefnaskra[Magn (g)],Hraefnaskra[Réttur],$A33,Hraefnaskra[Vöruflokkur],"Frosnar blöndur*"))/1000</f>
        <v>1.1419999999999999</v>
      </c>
      <c r="D33" s="318">
        <f t="shared" si="0"/>
        <v>1.1419885801141987E-2</v>
      </c>
      <c r="E33" s="317">
        <f>(SUMIFS(Hraefnaskra[Magn (g)],Hraefnaskra[Réttur],$A33,Hraefnaskra[Vöruflokkur],"Kjöt*")+SUMIFS(Hraefnaskra[Magn (g)],Hraefnaskra[Réttur],$A33,Hraefnaskra[Vöruflokkur],"Fiskur*")+SUMIFS(Hraefnaskra[Magn (g)],Hraefnaskra[Réttur],$A33,Hraefnaskra[Vöruflokkur],"Plöntubasað*"))/1000</f>
        <v>91.323999999999998</v>
      </c>
      <c r="F33" s="318">
        <f t="shared" si="1"/>
        <v>0.913230867691323</v>
      </c>
      <c r="G33" s="319">
        <f>SUMIF(Hraefnaskra[Réttur],$A33,Hraefnaskra[Kostnaður (kr)])</f>
        <v>183980.86000000002</v>
      </c>
      <c r="H33" s="319">
        <f t="shared" si="2"/>
        <v>1839.7902020979791</v>
      </c>
      <c r="I33" s="319">
        <f t="shared" si="3"/>
        <v>551.93706062939373</v>
      </c>
      <c r="J33" s="318">
        <f t="shared" si="4"/>
        <v>0.47994527011251631</v>
      </c>
      <c r="K33" s="320" t="str">
        <f t="shared" si="5"/>
        <v>Nei</v>
      </c>
      <c r="L33" s="320" t="str">
        <f t="shared" si="6"/>
        <v>Nei</v>
      </c>
      <c r="M33" s="320" t="str">
        <f t="shared" si="7"/>
        <v>Bæta við grænmeti – lækka próteinkostnað</v>
      </c>
    </row>
    <row r="34" spans="1:13">
      <c r="A34" s="316" t="s">
        <v>1587</v>
      </c>
      <c r="B34" s="317">
        <f>SUMIF(Hraefnaskra[Réttur],$A34,Hraefnaskra[Magn (g)])/1000</f>
        <v>99.998999999999995</v>
      </c>
      <c r="C34" s="317">
        <f>(SUMIFS(Hraefnaskra[Magn (g)],Hraefnaskra[Réttur],$A34,Hraefnaskra[Vöruflokkur],"Grænmeti*")+SUMIFS(Hraefnaskra[Magn (g)],Hraefnaskra[Réttur],$A34,Hraefnaskra[Vöruflokkur],"Ávextir*")+SUMIFS(Hraefnaskra[Magn (g)],Hraefnaskra[Réttur],$A34,Hraefnaskra[Vöruflokkur],"Frosnar blöndur*"))/1000</f>
        <v>0.91</v>
      </c>
      <c r="D34" s="318">
        <f t="shared" si="0"/>
        <v>9.1000910009100093E-3</v>
      </c>
      <c r="E34" s="317">
        <f>(SUMIFS(Hraefnaskra[Magn (g)],Hraefnaskra[Réttur],$A34,Hraefnaskra[Vöruflokkur],"Kjöt*")+SUMIFS(Hraefnaskra[Magn (g)],Hraefnaskra[Réttur],$A34,Hraefnaskra[Vöruflokkur],"Fiskur*")+SUMIFS(Hraefnaskra[Magn (g)],Hraefnaskra[Réttur],$A34,Hraefnaskra[Vöruflokkur],"Plöntubasað*"))/1000</f>
        <v>91.013000000000005</v>
      </c>
      <c r="F34" s="318">
        <f t="shared" si="1"/>
        <v>0.91013910139101406</v>
      </c>
      <c r="G34" s="319">
        <f>SUMIF(Hraefnaskra[Réttur],$A34,Hraefnaskra[Kostnaður (kr)])</f>
        <v>182825.35600000003</v>
      </c>
      <c r="H34" s="319">
        <f t="shared" si="2"/>
        <v>1828.2718427184275</v>
      </c>
      <c r="I34" s="319">
        <f t="shared" si="3"/>
        <v>548.48155281552818</v>
      </c>
      <c r="J34" s="318">
        <f t="shared" si="4"/>
        <v>0.47694048070915496</v>
      </c>
      <c r="K34" s="320" t="str">
        <f t="shared" si="5"/>
        <v>Nei</v>
      </c>
      <c r="L34" s="320" t="str">
        <f t="shared" si="6"/>
        <v>Nei</v>
      </c>
      <c r="M34" s="320" t="str">
        <f t="shared" si="7"/>
        <v>Bæta við grænmeti – lækka próteinkostnað</v>
      </c>
    </row>
    <row r="35" spans="1:13">
      <c r="A35" s="316" t="s">
        <v>1591</v>
      </c>
      <c r="B35" s="317">
        <f>SUMIF(Hraefnaskra[Réttur],$A35,Hraefnaskra[Magn (g)])/1000</f>
        <v>100</v>
      </c>
      <c r="C35" s="317">
        <f>(SUMIFS(Hraefnaskra[Magn (g)],Hraefnaskra[Réttur],$A35,Hraefnaskra[Vöruflokkur],"Grænmeti*")+SUMIFS(Hraefnaskra[Magn (g)],Hraefnaskra[Réttur],$A35,Hraefnaskra[Vöruflokkur],"Ávextir*")+SUMIFS(Hraefnaskra[Magn (g)],Hraefnaskra[Réttur],$A35,Hraefnaskra[Vöruflokkur],"Frosnar blöndur*"))/1000</f>
        <v>47.045999999999999</v>
      </c>
      <c r="D35" s="318">
        <f t="shared" si="0"/>
        <v>0.47045999999999999</v>
      </c>
      <c r="E35" s="317">
        <f>(SUMIFS(Hraefnaskra[Magn (g)],Hraefnaskra[Réttur],$A35,Hraefnaskra[Vöruflokkur],"Kjöt*")+SUMIFS(Hraefnaskra[Magn (g)],Hraefnaskra[Réttur],$A35,Hraefnaskra[Vöruflokkur],"Fiskur*")+SUMIFS(Hraefnaskra[Magn (g)],Hraefnaskra[Réttur],$A35,Hraefnaskra[Vöruflokkur],"Plöntubasað*"))/1000</f>
        <v>33.978000000000002</v>
      </c>
      <c r="F35" s="318">
        <f t="shared" si="1"/>
        <v>0.33978000000000003</v>
      </c>
      <c r="G35" s="319">
        <f>SUMIF(Hraefnaskra[Réttur],$A35,Hraefnaskra[Kostnaður (kr)])</f>
        <v>84277.709999999977</v>
      </c>
      <c r="H35" s="319">
        <f t="shared" si="2"/>
        <v>842.77709999999979</v>
      </c>
      <c r="I35" s="319">
        <f t="shared" si="3"/>
        <v>252.83312999999993</v>
      </c>
      <c r="J35" s="318">
        <f t="shared" si="4"/>
        <v>0.21985489565217384</v>
      </c>
      <c r="K35" s="320" t="str">
        <f t="shared" si="5"/>
        <v>Nei</v>
      </c>
      <c r="L35" s="320" t="str">
        <f t="shared" si="6"/>
        <v>Já</v>
      </c>
      <c r="M35" s="320" t="str">
        <f t="shared" si="7"/>
        <v>Undir grænmetismarkmiði</v>
      </c>
    </row>
    <row r="36" spans="1:13">
      <c r="A36" s="316" t="s">
        <v>1596</v>
      </c>
      <c r="B36" s="317">
        <f>SUMIF(Hraefnaskra[Réttur],$A36,Hraefnaskra[Magn (g)])/1000</f>
        <v>100</v>
      </c>
      <c r="C36" s="317">
        <f>(SUMIFS(Hraefnaskra[Magn (g)],Hraefnaskra[Réttur],$A36,Hraefnaskra[Vöruflokkur],"Grænmeti*")+SUMIFS(Hraefnaskra[Magn (g)],Hraefnaskra[Réttur],$A36,Hraefnaskra[Vöruflokkur],"Ávextir*")+SUMIFS(Hraefnaskra[Magn (g)],Hraefnaskra[Réttur],$A36,Hraefnaskra[Vöruflokkur],"Frosnar blöndur*"))/1000</f>
        <v>10.879</v>
      </c>
      <c r="D36" s="318">
        <f t="shared" si="0"/>
        <v>0.10879</v>
      </c>
      <c r="E36" s="317">
        <f>(SUMIFS(Hraefnaskra[Magn (g)],Hraefnaskra[Réttur],$A36,Hraefnaskra[Vöruflokkur],"Kjöt*")+SUMIFS(Hraefnaskra[Magn (g)],Hraefnaskra[Réttur],$A36,Hraefnaskra[Vöruflokkur],"Fiskur*")+SUMIFS(Hraefnaskra[Magn (g)],Hraefnaskra[Réttur],$A36,Hraefnaskra[Vöruflokkur],"Plöntubasað*"))/1000</f>
        <v>54.396999999999998</v>
      </c>
      <c r="F36" s="318">
        <f t="shared" si="1"/>
        <v>0.54396999999999995</v>
      </c>
      <c r="G36" s="319">
        <f>SUMIF(Hraefnaskra[Réttur],$A36,Hraefnaskra[Kostnaður (kr)])</f>
        <v>129435.24</v>
      </c>
      <c r="H36" s="319">
        <f t="shared" si="2"/>
        <v>1294.3524</v>
      </c>
      <c r="I36" s="319">
        <f t="shared" si="3"/>
        <v>388.30572000000001</v>
      </c>
      <c r="J36" s="318">
        <f t="shared" si="4"/>
        <v>0.33765714782608697</v>
      </c>
      <c r="K36" s="320" t="str">
        <f t="shared" si="5"/>
        <v>Nei</v>
      </c>
      <c r="L36" s="320" t="str">
        <f t="shared" si="6"/>
        <v>Nei</v>
      </c>
      <c r="M36" s="320" t="str">
        <f t="shared" si="7"/>
        <v>Bæta við grænmeti – lækka próteinkostnað</v>
      </c>
    </row>
    <row r="37" spans="1:13">
      <c r="A37" s="316" t="s">
        <v>1601</v>
      </c>
      <c r="B37" s="317">
        <f>SUMIF(Hraefnaskra[Réttur],$A37,Hraefnaskra[Magn (g)])/1000</f>
        <v>100.001</v>
      </c>
      <c r="C37" s="317">
        <f>(SUMIFS(Hraefnaskra[Magn (g)],Hraefnaskra[Réttur],$A37,Hraefnaskra[Vöruflokkur],"Grænmeti*")+SUMIFS(Hraefnaskra[Magn (g)],Hraefnaskra[Réttur],$A37,Hraefnaskra[Vöruflokkur],"Ávextir*")+SUMIFS(Hraefnaskra[Magn (g)],Hraefnaskra[Réttur],$A37,Hraefnaskra[Vöruflokkur],"Frosnar blöndur*"))/1000</f>
        <v>2.2200000000000002</v>
      </c>
      <c r="D37" s="318">
        <f t="shared" si="0"/>
        <v>2.2199778002219978E-2</v>
      </c>
      <c r="E37" s="317">
        <f>(SUMIFS(Hraefnaskra[Magn (g)],Hraefnaskra[Réttur],$A37,Hraefnaskra[Vöruflokkur],"Kjöt*")+SUMIFS(Hraefnaskra[Magn (g)],Hraefnaskra[Réttur],$A37,Hraefnaskra[Vöruflokkur],"Fiskur*")+SUMIFS(Hraefnaskra[Magn (g)],Hraefnaskra[Réttur],$A37,Hraefnaskra[Vöruflokkur],"Plöntubasað*"))/1000</f>
        <v>88.79</v>
      </c>
      <c r="F37" s="318">
        <f t="shared" si="1"/>
        <v>0.88789112108878909</v>
      </c>
      <c r="G37" s="319">
        <f>SUMIF(Hraefnaskra[Réttur],$A37,Hraefnaskra[Kostnaður (kr)])</f>
        <v>188010.56</v>
      </c>
      <c r="H37" s="319">
        <f t="shared" si="2"/>
        <v>1880.0867991320085</v>
      </c>
      <c r="I37" s="319">
        <f t="shared" si="3"/>
        <v>564.02603973960254</v>
      </c>
      <c r="J37" s="318">
        <f t="shared" si="4"/>
        <v>0.49045742586052393</v>
      </c>
      <c r="K37" s="320" t="str">
        <f t="shared" si="5"/>
        <v>Nei</v>
      </c>
      <c r="L37" s="320" t="str">
        <f t="shared" si="6"/>
        <v>Nei</v>
      </c>
      <c r="M37" s="320" t="str">
        <f t="shared" si="7"/>
        <v>Bæta við grænmeti – lækka próteinkostnað</v>
      </c>
    </row>
    <row r="38" spans="1:13">
      <c r="A38" s="316" t="s">
        <v>1606</v>
      </c>
      <c r="B38" s="317">
        <f>SUMIF(Hraefnaskra[Réttur],$A38,Hraefnaskra[Magn (g)])/1000</f>
        <v>129.851</v>
      </c>
      <c r="C38" s="317">
        <f>(SUMIFS(Hraefnaskra[Magn (g)],Hraefnaskra[Réttur],$A38,Hraefnaskra[Vöruflokkur],"Grænmeti*")+SUMIFS(Hraefnaskra[Magn (g)],Hraefnaskra[Réttur],$A38,Hraefnaskra[Vöruflokkur],"Ávextir*")+SUMIFS(Hraefnaskra[Magn (g)],Hraefnaskra[Réttur],$A38,Hraefnaskra[Vöruflokkur],"Frosnar blöndur*"))/1000</f>
        <v>37.299999999999997</v>
      </c>
      <c r="D38" s="318">
        <f t="shared" si="0"/>
        <v>0.28725231226559672</v>
      </c>
      <c r="E38" s="317">
        <f>(SUMIFS(Hraefnaskra[Magn (g)],Hraefnaskra[Réttur],$A38,Hraefnaskra[Vöruflokkur],"Kjöt*")+SUMIFS(Hraefnaskra[Magn (g)],Hraefnaskra[Réttur],$A38,Hraefnaskra[Vöruflokkur],"Fiskur*")+SUMIFS(Hraefnaskra[Magn (g)],Hraefnaskra[Réttur],$A38,Hraefnaskra[Vöruflokkur],"Plöntubasað*"))/1000</f>
        <v>15.6</v>
      </c>
      <c r="F38" s="318">
        <f t="shared" si="1"/>
        <v>0.12013769628266244</v>
      </c>
      <c r="G38" s="319">
        <f>SUMIF(Hraefnaskra[Réttur],$A38,Hraefnaskra[Kostnaður (kr)])</f>
        <v>74702.600000000006</v>
      </c>
      <c r="H38" s="319">
        <f t="shared" si="2"/>
        <v>575.29476091828326</v>
      </c>
      <c r="I38" s="319">
        <f t="shared" si="3"/>
        <v>172.58842827548497</v>
      </c>
      <c r="J38" s="318">
        <f t="shared" si="4"/>
        <v>0.15007689415259562</v>
      </c>
      <c r="K38" s="320" t="str">
        <f t="shared" si="5"/>
        <v>Nei</v>
      </c>
      <c r="L38" s="320" t="str">
        <f t="shared" si="6"/>
        <v>Já</v>
      </c>
      <c r="M38" s="320" t="str">
        <f t="shared" si="7"/>
        <v>Undir grænmetismarkmiði</v>
      </c>
    </row>
    <row r="39" spans="1:13">
      <c r="A39" s="316" t="s">
        <v>1612</v>
      </c>
      <c r="B39" s="317">
        <f>SUMIF(Hraefnaskra[Réttur],$A39,Hraefnaskra[Magn (g)])/1000</f>
        <v>109.89700000000001</v>
      </c>
      <c r="C39" s="317">
        <f>(SUMIFS(Hraefnaskra[Magn (g)],Hraefnaskra[Réttur],$A39,Hraefnaskra[Vöruflokkur],"Grænmeti*")+SUMIFS(Hraefnaskra[Magn (g)],Hraefnaskra[Réttur],$A39,Hraefnaskra[Vöruflokkur],"Ávextir*")+SUMIFS(Hraefnaskra[Magn (g)],Hraefnaskra[Réttur],$A39,Hraefnaskra[Vöruflokkur],"Frosnar blöndur*"))/1000</f>
        <v>17.53</v>
      </c>
      <c r="D39" s="318">
        <f t="shared" si="0"/>
        <v>0.15951299853499185</v>
      </c>
      <c r="E39" s="317">
        <f>(SUMIFS(Hraefnaskra[Magn (g)],Hraefnaskra[Réttur],$A39,Hraefnaskra[Vöruflokkur],"Kjöt*")+SUMIFS(Hraefnaskra[Magn (g)],Hraefnaskra[Réttur],$A39,Hraefnaskra[Vöruflokkur],"Fiskur*")+SUMIFS(Hraefnaskra[Magn (g)],Hraefnaskra[Réttur],$A39,Hraefnaskra[Vöruflokkur],"Plöntubasað*"))/1000</f>
        <v>20</v>
      </c>
      <c r="F39" s="318">
        <f t="shared" si="1"/>
        <v>0.18198858931544992</v>
      </c>
      <c r="G39" s="319">
        <f>SUMIF(Hraefnaskra[Réttur],$A39,Hraefnaskra[Kostnaður (kr)])</f>
        <v>75390.551999999996</v>
      </c>
      <c r="H39" s="319">
        <f t="shared" si="2"/>
        <v>686.01101030965356</v>
      </c>
      <c r="I39" s="319">
        <f t="shared" si="3"/>
        <v>205.80330309289607</v>
      </c>
      <c r="J39" s="318">
        <f t="shared" si="4"/>
        <v>0.17895939399382269</v>
      </c>
      <c r="K39" s="320" t="str">
        <f t="shared" si="5"/>
        <v>Nei</v>
      </c>
      <c r="L39" s="320" t="str">
        <f t="shared" si="6"/>
        <v>Já</v>
      </c>
      <c r="M39" s="320" t="str">
        <f t="shared" si="7"/>
        <v>Undir grænmetismarkmiði</v>
      </c>
    </row>
    <row r="40" spans="1:13">
      <c r="A40" s="316" t="s">
        <v>1617</v>
      </c>
      <c r="B40" s="317">
        <f>SUMIF(Hraefnaskra[Réttur],$A40,Hraefnaskra[Magn (g)])/1000</f>
        <v>100</v>
      </c>
      <c r="C40" s="317">
        <f>(SUMIFS(Hraefnaskra[Magn (g)],Hraefnaskra[Réttur],$A40,Hraefnaskra[Vöruflokkur],"Grænmeti*")+SUMIFS(Hraefnaskra[Magn (g)],Hraefnaskra[Réttur],$A40,Hraefnaskra[Vöruflokkur],"Ávextir*")+SUMIFS(Hraefnaskra[Magn (g)],Hraefnaskra[Réttur],$A40,Hraefnaskra[Vöruflokkur],"Frosnar blöndur*"))/1000</f>
        <v>5.65</v>
      </c>
      <c r="D40" s="318">
        <f t="shared" si="0"/>
        <v>5.6500000000000002E-2</v>
      </c>
      <c r="E40" s="317">
        <f>(SUMIFS(Hraefnaskra[Magn (g)],Hraefnaskra[Réttur],$A40,Hraefnaskra[Vöruflokkur],"Kjöt*")+SUMIFS(Hraefnaskra[Magn (g)],Hraefnaskra[Réttur],$A40,Hraefnaskra[Vöruflokkur],"Fiskur*")+SUMIFS(Hraefnaskra[Magn (g)],Hraefnaskra[Réttur],$A40,Hraefnaskra[Vöruflokkur],"Plöntubasað*"))/1000</f>
        <v>33.898000000000003</v>
      </c>
      <c r="F40" s="318">
        <f t="shared" si="1"/>
        <v>0.33898000000000006</v>
      </c>
      <c r="G40" s="319">
        <f>SUMIF(Hraefnaskra[Réttur],$A40,Hraefnaskra[Kostnaður (kr)])</f>
        <v>105310.664</v>
      </c>
      <c r="H40" s="319">
        <f t="shared" si="2"/>
        <v>1053.10664</v>
      </c>
      <c r="I40" s="319">
        <f t="shared" si="3"/>
        <v>315.93199199999998</v>
      </c>
      <c r="J40" s="318">
        <f t="shared" si="4"/>
        <v>0.27472347130434782</v>
      </c>
      <c r="K40" s="320" t="str">
        <f t="shared" si="5"/>
        <v>Nei</v>
      </c>
      <c r="L40" s="320" t="str">
        <f t="shared" si="6"/>
        <v>Já</v>
      </c>
      <c r="M40" s="320" t="str">
        <f t="shared" si="7"/>
        <v>Undir grænmetismarkmiði</v>
      </c>
    </row>
    <row r="41" spans="1:13">
      <c r="A41" s="316" t="s">
        <v>1623</v>
      </c>
      <c r="B41" s="317">
        <f>SUMIF(Hraefnaskra[Réttur],$A41,Hraefnaskra[Magn (g)])/1000</f>
        <v>99.998999999999995</v>
      </c>
      <c r="C41" s="317">
        <f>(SUMIFS(Hraefnaskra[Magn (g)],Hraefnaskra[Réttur],$A41,Hraefnaskra[Vöruflokkur],"Grænmeti*")+SUMIFS(Hraefnaskra[Magn (g)],Hraefnaskra[Réttur],$A41,Hraefnaskra[Vöruflokkur],"Ávextir*")+SUMIFS(Hraefnaskra[Magn (g)],Hraefnaskra[Réttur],$A41,Hraefnaskra[Vöruflokkur],"Frosnar blöndur*"))/1000</f>
        <v>7.53</v>
      </c>
      <c r="D41" s="318">
        <f t="shared" si="0"/>
        <v>7.5300753007530086E-2</v>
      </c>
      <c r="E41" s="317">
        <f>(SUMIFS(Hraefnaskra[Magn (g)],Hraefnaskra[Réttur],$A41,Hraefnaskra[Vöruflokkur],"Kjöt*")+SUMIFS(Hraefnaskra[Magn (g)],Hraefnaskra[Réttur],$A41,Hraefnaskra[Vöruflokkur],"Fiskur*")+SUMIFS(Hraefnaskra[Magn (g)],Hraefnaskra[Réttur],$A41,Hraefnaskra[Vöruflokkur],"Plöntubasað*"))/1000</f>
        <v>45.180999999999997</v>
      </c>
      <c r="F41" s="318">
        <f t="shared" si="1"/>
        <v>0.45181451814518142</v>
      </c>
      <c r="G41" s="319">
        <f>SUMIF(Hraefnaskra[Réttur],$A41,Hraefnaskra[Kostnaður (kr)])</f>
        <v>130567.63400000001</v>
      </c>
      <c r="H41" s="319">
        <f t="shared" si="2"/>
        <v>1305.6893968939692</v>
      </c>
      <c r="I41" s="319">
        <f t="shared" si="3"/>
        <v>391.70681906819073</v>
      </c>
      <c r="J41" s="318">
        <f t="shared" si="4"/>
        <v>0.34061462527668757</v>
      </c>
      <c r="K41" s="320" t="str">
        <f t="shared" si="5"/>
        <v>Nei</v>
      </c>
      <c r="L41" s="320" t="str">
        <f t="shared" si="6"/>
        <v>Nei</v>
      </c>
      <c r="M41" s="320" t="str">
        <f t="shared" si="7"/>
        <v>Bæta við grænmeti – lækka próteinkostnað</v>
      </c>
    </row>
    <row r="42" spans="1:13">
      <c r="A42" s="316" t="s">
        <v>1629</v>
      </c>
      <c r="B42" s="317">
        <f>SUMIF(Hraefnaskra[Réttur],$A42,Hraefnaskra[Magn (g)])/1000</f>
        <v>100.001</v>
      </c>
      <c r="C42" s="317">
        <f>(SUMIFS(Hraefnaskra[Magn (g)],Hraefnaskra[Réttur],$A42,Hraefnaskra[Vöruflokkur],"Grænmeti*")+SUMIFS(Hraefnaskra[Magn (g)],Hraefnaskra[Réttur],$A42,Hraefnaskra[Vöruflokkur],"Ávextir*")+SUMIFS(Hraefnaskra[Magn (g)],Hraefnaskra[Réttur],$A42,Hraefnaskra[Vöruflokkur],"Frosnar blöndur*"))/1000</f>
        <v>15.441000000000001</v>
      </c>
      <c r="D42" s="318">
        <f t="shared" si="0"/>
        <v>0.15440845591544083</v>
      </c>
      <c r="E42" s="317">
        <f>(SUMIFS(Hraefnaskra[Magn (g)],Hraefnaskra[Réttur],$A42,Hraefnaskra[Vöruflokkur],"Kjöt*")+SUMIFS(Hraefnaskra[Magn (g)],Hraefnaskra[Réttur],$A42,Hraefnaskra[Vöruflokkur],"Fiskur*")+SUMIFS(Hraefnaskra[Magn (g)],Hraefnaskra[Réttur],$A42,Hraefnaskra[Vöruflokkur],"Plöntubasað*"))/1000</f>
        <v>44.118000000000002</v>
      </c>
      <c r="F42" s="318">
        <f t="shared" si="1"/>
        <v>0.44117558824411757</v>
      </c>
      <c r="G42" s="319">
        <f>SUMIF(Hraefnaskra[Réttur],$A42,Hraefnaskra[Kostnaður (kr)])</f>
        <v>114264.90999999999</v>
      </c>
      <c r="H42" s="319">
        <f t="shared" si="2"/>
        <v>1142.6376736232637</v>
      </c>
      <c r="I42" s="319">
        <f t="shared" si="3"/>
        <v>342.7913020869791</v>
      </c>
      <c r="J42" s="318">
        <f t="shared" si="4"/>
        <v>0.29807939311911225</v>
      </c>
      <c r="K42" s="320" t="str">
        <f t="shared" si="5"/>
        <v>Nei</v>
      </c>
      <c r="L42" s="320" t="str">
        <f t="shared" si="6"/>
        <v>Já</v>
      </c>
      <c r="M42" s="320" t="str">
        <f t="shared" si="7"/>
        <v>Undir grænmetismarkmiði</v>
      </c>
    </row>
    <row r="43" spans="1:13">
      <c r="A43" s="316" t="s">
        <v>1634</v>
      </c>
      <c r="B43" s="317">
        <f>SUMIF(Hraefnaskra[Réttur],$A43,Hraefnaskra[Magn (g)])/1000</f>
        <v>107.827</v>
      </c>
      <c r="C43" s="317">
        <f>(SUMIFS(Hraefnaskra[Magn (g)],Hraefnaskra[Réttur],$A43,Hraefnaskra[Vöruflokkur],"Grænmeti*")+SUMIFS(Hraefnaskra[Magn (g)],Hraefnaskra[Réttur],$A43,Hraefnaskra[Vöruflokkur],"Ávextir*")+SUMIFS(Hraefnaskra[Magn (g)],Hraefnaskra[Réttur],$A43,Hraefnaskra[Vöruflokkur],"Frosnar blöndur*"))/1000</f>
        <v>15.521000000000001</v>
      </c>
      <c r="D43" s="318">
        <f t="shared" ref="D43:D74" si="8">IFERROR(C43/B43,"")</f>
        <v>0.14394353918777303</v>
      </c>
      <c r="E43" s="317">
        <f>(SUMIFS(Hraefnaskra[Magn (g)],Hraefnaskra[Réttur],$A43,Hraefnaskra[Vöruflokkur],"Kjöt*")+SUMIFS(Hraefnaskra[Magn (g)],Hraefnaskra[Réttur],$A43,Hraefnaskra[Vöruflokkur],"Fiskur*")+SUMIFS(Hraefnaskra[Magn (g)],Hraefnaskra[Réttur],$A43,Hraefnaskra[Vöruflokkur],"Plöntubasað*"))/1000</f>
        <v>0</v>
      </c>
      <c r="F43" s="318">
        <f t="shared" ref="F43:F74" si="9">IFERROR(E43/B43,"")</f>
        <v>0</v>
      </c>
      <c r="G43" s="319">
        <f>SUMIF(Hraefnaskra[Réttur],$A43,Hraefnaskra[Kostnaður (kr)])</f>
        <v>12755.405999999999</v>
      </c>
      <c r="H43" s="319">
        <f t="shared" ref="H43:H74" si="10">IFERROR(G43/B43,"")</f>
        <v>118.29510233985921</v>
      </c>
      <c r="I43" s="319">
        <f t="shared" ref="I43:I74" si="11">IFERROR(H43*$B$7,"")</f>
        <v>35.488530701957764</v>
      </c>
      <c r="J43" s="318">
        <f t="shared" ref="J43:J74" si="12">IFERROR(I43/$B$4,"")</f>
        <v>3.0859591914745882E-2</v>
      </c>
      <c r="K43" s="320" t="str">
        <f t="shared" ref="K43:K77" si="13">IF(D43="","",IF(D43&gt;=$B$8,"Já","Nei"))</f>
        <v>Nei</v>
      </c>
      <c r="L43" s="320" t="str">
        <f t="shared" ref="L43:L77" si="14">IF(J43="","",IF(J43&lt;=$B$5,"Já","Nei"))</f>
        <v>Já</v>
      </c>
      <c r="M43" s="320" t="str">
        <f t="shared" ref="M43:M74" si="15">IF(K43="","",IF(AND(K43="Já",L43="Já"),"Í lagi",IF(L43="Nei","Bæta við grænmeti – lækka próteinkostnað","Undir grænmetismarkmiði")))</f>
        <v>Undir grænmetismarkmiði</v>
      </c>
    </row>
    <row r="44" spans="1:13">
      <c r="A44" s="316" t="s">
        <v>1640</v>
      </c>
      <c r="B44" s="317">
        <f>SUMIF(Hraefnaskra[Réttur],$A44,Hraefnaskra[Magn (g)])/1000</f>
        <v>173.82599999999999</v>
      </c>
      <c r="C44" s="317">
        <f>(SUMIFS(Hraefnaskra[Magn (g)],Hraefnaskra[Réttur],$A44,Hraefnaskra[Vöruflokkur],"Grænmeti*")+SUMIFS(Hraefnaskra[Magn (g)],Hraefnaskra[Réttur],$A44,Hraefnaskra[Vöruflokkur],"Ávextir*")+SUMIFS(Hraefnaskra[Magn (g)],Hraefnaskra[Réttur],$A44,Hraefnaskra[Vöruflokkur],"Frosnar blöndur*"))/1000</f>
        <v>20.800999999999998</v>
      </c>
      <c r="D44" s="318">
        <f t="shared" si="8"/>
        <v>0.11966564265414839</v>
      </c>
      <c r="E44" s="317">
        <f>(SUMIFS(Hraefnaskra[Magn (g)],Hraefnaskra[Réttur],$A44,Hraefnaskra[Vöruflokkur],"Kjöt*")+SUMIFS(Hraefnaskra[Magn (g)],Hraefnaskra[Réttur],$A44,Hraefnaskra[Vöruflokkur],"Fiskur*")+SUMIFS(Hraefnaskra[Magn (g)],Hraefnaskra[Réttur],$A44,Hraefnaskra[Vöruflokkur],"Plöntubasað*"))/1000</f>
        <v>39.267000000000003</v>
      </c>
      <c r="F44" s="318">
        <f t="shared" si="9"/>
        <v>0.22589831210520869</v>
      </c>
      <c r="G44" s="319">
        <f>SUMIF(Hraefnaskra[Réttur],$A44,Hraefnaskra[Kostnaður (kr)])</f>
        <v>113325.78000000001</v>
      </c>
      <c r="H44" s="319">
        <f t="shared" si="10"/>
        <v>651.94953574263934</v>
      </c>
      <c r="I44" s="319">
        <f t="shared" si="11"/>
        <v>195.5848607227918</v>
      </c>
      <c r="J44" s="318">
        <f t="shared" si="12"/>
        <v>0.17007379193286243</v>
      </c>
      <c r="K44" s="320" t="str">
        <f t="shared" si="13"/>
        <v>Nei</v>
      </c>
      <c r="L44" s="320" t="str">
        <f t="shared" si="14"/>
        <v>Já</v>
      </c>
      <c r="M44" s="320" t="str">
        <f t="shared" si="15"/>
        <v>Undir grænmetismarkmiði</v>
      </c>
    </row>
    <row r="45" spans="1:13">
      <c r="A45" s="316" t="s">
        <v>1650</v>
      </c>
      <c r="B45" s="317">
        <f>SUMIF(Hraefnaskra[Réttur],$A45,Hraefnaskra[Magn (g)])/1000</f>
        <v>100.001</v>
      </c>
      <c r="C45" s="317">
        <f>(SUMIFS(Hraefnaskra[Magn (g)],Hraefnaskra[Réttur],$A45,Hraefnaskra[Vöruflokkur],"Grænmeti*")+SUMIFS(Hraefnaskra[Magn (g)],Hraefnaskra[Réttur],$A45,Hraefnaskra[Vöruflokkur],"Ávextir*")+SUMIFS(Hraefnaskra[Magn (g)],Hraefnaskra[Réttur],$A45,Hraefnaskra[Vöruflokkur],"Frosnar blöndur*"))/1000</f>
        <v>8.548</v>
      </c>
      <c r="D45" s="318">
        <f t="shared" si="8"/>
        <v>8.5479145208547908E-2</v>
      </c>
      <c r="E45" s="317">
        <f>(SUMIFS(Hraefnaskra[Magn (g)],Hraefnaskra[Réttur],$A45,Hraefnaskra[Vöruflokkur],"Kjöt*")+SUMIFS(Hraefnaskra[Magn (g)],Hraefnaskra[Réttur],$A45,Hraefnaskra[Vöruflokkur],"Fiskur*")+SUMIFS(Hraefnaskra[Magn (g)],Hraefnaskra[Réttur],$A45,Hraefnaskra[Vöruflokkur],"Plöntubasað*"))/1000</f>
        <v>51.281999999999996</v>
      </c>
      <c r="F45" s="318">
        <f t="shared" si="9"/>
        <v>0.51281487185128138</v>
      </c>
      <c r="G45" s="319">
        <f>SUMIF(Hraefnaskra[Réttur],$A45,Hraefnaskra[Kostnaður (kr)])</f>
        <v>140237.226</v>
      </c>
      <c r="H45" s="319">
        <f t="shared" si="10"/>
        <v>1402.3582364176357</v>
      </c>
      <c r="I45" s="319">
        <f t="shared" si="11"/>
        <v>420.70747092529069</v>
      </c>
      <c r="J45" s="318">
        <f t="shared" si="12"/>
        <v>0.36583258341329628</v>
      </c>
      <c r="K45" s="320" t="str">
        <f t="shared" si="13"/>
        <v>Nei</v>
      </c>
      <c r="L45" s="320" t="str">
        <f t="shared" si="14"/>
        <v>Nei</v>
      </c>
      <c r="M45" s="320" t="str">
        <f t="shared" si="15"/>
        <v>Bæta við grænmeti – lækka próteinkostnað</v>
      </c>
    </row>
    <row r="46" spans="1:13">
      <c r="A46" s="316" t="s">
        <v>1655</v>
      </c>
      <c r="B46" s="317">
        <f>SUMIF(Hraefnaskra[Réttur],$A46,Hraefnaskra[Magn (g)])/1000</f>
        <v>68.075000000000003</v>
      </c>
      <c r="C46" s="317">
        <f>(SUMIFS(Hraefnaskra[Magn (g)],Hraefnaskra[Réttur],$A46,Hraefnaskra[Vöruflokkur],"Grænmeti*")+SUMIFS(Hraefnaskra[Magn (g)],Hraefnaskra[Réttur],$A46,Hraefnaskra[Vöruflokkur],"Ávextir*")+SUMIFS(Hraefnaskra[Magn (g)],Hraefnaskra[Réttur],$A46,Hraefnaskra[Vöruflokkur],"Frosnar blöndur*"))/1000</f>
        <v>0.79800000000000004</v>
      </c>
      <c r="D46" s="318">
        <f t="shared" si="8"/>
        <v>1.1722365038560412E-2</v>
      </c>
      <c r="E46" s="317">
        <f>(SUMIFS(Hraefnaskra[Magn (g)],Hraefnaskra[Réttur],$A46,Hraefnaskra[Vöruflokkur],"Kjöt*")+SUMIFS(Hraefnaskra[Magn (g)],Hraefnaskra[Réttur],$A46,Hraefnaskra[Vöruflokkur],"Fiskur*")+SUMIFS(Hraefnaskra[Magn (g)],Hraefnaskra[Réttur],$A46,Hraefnaskra[Vöruflokkur],"Plöntubasað*"))/1000</f>
        <v>47.884999999999998</v>
      </c>
      <c r="F46" s="318">
        <f t="shared" si="9"/>
        <v>0.70341535071612182</v>
      </c>
      <c r="G46" s="319">
        <f>SUMIF(Hraefnaskra[Réttur],$A46,Hraefnaskra[Kostnaður (kr)])</f>
        <v>144116.889</v>
      </c>
      <c r="H46" s="319">
        <f t="shared" si="10"/>
        <v>2117.0310539845755</v>
      </c>
      <c r="I46" s="319">
        <f t="shared" si="11"/>
        <v>635.10931619537257</v>
      </c>
      <c r="J46" s="318">
        <f t="shared" si="12"/>
        <v>0.55226897060467184</v>
      </c>
      <c r="K46" s="320" t="str">
        <f t="shared" si="13"/>
        <v>Nei</v>
      </c>
      <c r="L46" s="320" t="str">
        <f t="shared" si="14"/>
        <v>Nei</v>
      </c>
      <c r="M46" s="320" t="str">
        <f t="shared" si="15"/>
        <v>Bæta við grænmeti – lækka próteinkostnað</v>
      </c>
    </row>
    <row r="47" spans="1:13">
      <c r="A47" s="316" t="s">
        <v>1660</v>
      </c>
      <c r="B47" s="317">
        <f>SUMIF(Hraefnaskra[Réttur],$A47,Hraefnaskra[Magn (g)])/1000</f>
        <v>100.001</v>
      </c>
      <c r="C47" s="317">
        <f>(SUMIFS(Hraefnaskra[Magn (g)],Hraefnaskra[Réttur],$A47,Hraefnaskra[Vöruflokkur],"Grænmeti*")+SUMIFS(Hraefnaskra[Magn (g)],Hraefnaskra[Réttur],$A47,Hraefnaskra[Vöruflokkur],"Ávextir*")+SUMIFS(Hraefnaskra[Magn (g)],Hraefnaskra[Réttur],$A47,Hraefnaskra[Vöruflokkur],"Frosnar blöndur*"))/1000</f>
        <v>1.0629999999999999</v>
      </c>
      <c r="D47" s="318">
        <f t="shared" si="8"/>
        <v>1.0629893701062989E-2</v>
      </c>
      <c r="E47" s="317">
        <f>(SUMIFS(Hraefnaskra[Magn (g)],Hraefnaskra[Réttur],$A47,Hraefnaskra[Vöruflokkur],"Kjöt*")+SUMIFS(Hraefnaskra[Magn (g)],Hraefnaskra[Réttur],$A47,Hraefnaskra[Vöruflokkur],"Fiskur*")+SUMIFS(Hraefnaskra[Magn (g)],Hraefnaskra[Réttur],$A47,Hraefnaskra[Vöruflokkur],"Plöntubasað*"))/1000</f>
        <v>85.016000000000005</v>
      </c>
      <c r="F47" s="318">
        <f t="shared" si="9"/>
        <v>0.85015149848501514</v>
      </c>
      <c r="G47" s="319">
        <f>SUMIF(Hraefnaskra[Réttur],$A47,Hraefnaskra[Kostnaður (kr)])</f>
        <v>217958.30000000005</v>
      </c>
      <c r="H47" s="319">
        <f t="shared" si="10"/>
        <v>2179.5612043879564</v>
      </c>
      <c r="I47" s="319">
        <f t="shared" si="11"/>
        <v>653.86836131638688</v>
      </c>
      <c r="J47" s="318">
        <f t="shared" si="12"/>
        <v>0.56858118375337985</v>
      </c>
      <c r="K47" s="320" t="str">
        <f t="shared" si="13"/>
        <v>Nei</v>
      </c>
      <c r="L47" s="320" t="str">
        <f t="shared" si="14"/>
        <v>Nei</v>
      </c>
      <c r="M47" s="320" t="str">
        <f t="shared" si="15"/>
        <v>Bæta við grænmeti – lækka próteinkostnað</v>
      </c>
    </row>
    <row r="48" spans="1:13">
      <c r="A48" s="316" t="s">
        <v>1666</v>
      </c>
      <c r="B48" s="317">
        <f>SUMIF(Hraefnaskra[Réttur],$A48,Hraefnaskra[Magn (g)])/1000</f>
        <v>74.025999999999996</v>
      </c>
      <c r="C48" s="317">
        <f>(SUMIFS(Hraefnaskra[Magn (g)],Hraefnaskra[Réttur],$A48,Hraefnaskra[Vöruflokkur],"Grænmeti*")+SUMIFS(Hraefnaskra[Magn (g)],Hraefnaskra[Réttur],$A48,Hraefnaskra[Vöruflokkur],"Ávextir*")+SUMIFS(Hraefnaskra[Magn (g)],Hraefnaskra[Réttur],$A48,Hraefnaskra[Vöruflokkur],"Frosnar blöndur*"))/1000</f>
        <v>18.181999999999999</v>
      </c>
      <c r="D48" s="318">
        <f t="shared" si="8"/>
        <v>0.2456164050468754</v>
      </c>
      <c r="E48" s="317">
        <f>(SUMIFS(Hraefnaskra[Magn (g)],Hraefnaskra[Réttur],$A48,Hraefnaskra[Vöruflokkur],"Kjöt*")+SUMIFS(Hraefnaskra[Magn (g)],Hraefnaskra[Réttur],$A48,Hraefnaskra[Vöruflokkur],"Fiskur*")+SUMIFS(Hraefnaskra[Magn (g)],Hraefnaskra[Réttur],$A48,Hraefnaskra[Vöruflokkur],"Plöntubasað*"))/1000</f>
        <v>51.948</v>
      </c>
      <c r="F48" s="318">
        <f t="shared" si="9"/>
        <v>0.70175343798124989</v>
      </c>
      <c r="G48" s="319">
        <f>SUMIF(Hraefnaskra[Réttur],$A48,Hraefnaskra[Kostnaður (kr)])</f>
        <v>134164.55999999997</v>
      </c>
      <c r="H48" s="319">
        <f t="shared" si="10"/>
        <v>1812.397806176208</v>
      </c>
      <c r="I48" s="319">
        <f t="shared" si="11"/>
        <v>543.71934185286239</v>
      </c>
      <c r="J48" s="318">
        <f t="shared" si="12"/>
        <v>0.47279942769814121</v>
      </c>
      <c r="K48" s="320" t="str">
        <f t="shared" si="13"/>
        <v>Nei</v>
      </c>
      <c r="L48" s="320" t="str">
        <f t="shared" si="14"/>
        <v>Nei</v>
      </c>
      <c r="M48" s="320" t="str">
        <f t="shared" si="15"/>
        <v>Bæta við grænmeti – lækka próteinkostnað</v>
      </c>
    </row>
    <row r="49" spans="1:13">
      <c r="A49" s="316" t="s">
        <v>1671</v>
      </c>
      <c r="B49" s="317">
        <f>SUMIF(Hraefnaskra[Réttur],$A49,Hraefnaskra[Magn (g)])/1000</f>
        <v>101.378</v>
      </c>
      <c r="C49" s="317">
        <f>(SUMIFS(Hraefnaskra[Magn (g)],Hraefnaskra[Réttur],$A49,Hraefnaskra[Vöruflokkur],"Grænmeti*")+SUMIFS(Hraefnaskra[Magn (g)],Hraefnaskra[Réttur],$A49,Hraefnaskra[Vöruflokkur],"Ávextir*")+SUMIFS(Hraefnaskra[Magn (g)],Hraefnaskra[Réttur],$A49,Hraefnaskra[Vöruflokkur],"Frosnar blöndur*"))/1000</f>
        <v>7.8739999999999997</v>
      </c>
      <c r="D49" s="318">
        <f t="shared" si="8"/>
        <v>7.7669711377221881E-2</v>
      </c>
      <c r="E49" s="317">
        <f>(SUMIFS(Hraefnaskra[Magn (g)],Hraefnaskra[Réttur],$A49,Hraefnaskra[Vöruflokkur],"Kjöt*")+SUMIFS(Hraefnaskra[Magn (g)],Hraefnaskra[Réttur],$A49,Hraefnaskra[Vöruflokkur],"Fiskur*")+SUMIFS(Hraefnaskra[Magn (g)],Hraefnaskra[Réttur],$A49,Hraefnaskra[Vöruflokkur],"Plöntubasað*"))/1000</f>
        <v>47.244</v>
      </c>
      <c r="F49" s="318">
        <f t="shared" si="9"/>
        <v>0.46601826826333131</v>
      </c>
      <c r="G49" s="319">
        <f>SUMIF(Hraefnaskra[Réttur],$A49,Hraefnaskra[Kostnaður (kr)])</f>
        <v>151716.76400000002</v>
      </c>
      <c r="H49" s="319">
        <f t="shared" si="10"/>
        <v>1496.5452465031863</v>
      </c>
      <c r="I49" s="319">
        <f t="shared" si="11"/>
        <v>448.96357395095589</v>
      </c>
      <c r="J49" s="318">
        <f t="shared" si="12"/>
        <v>0.3904031077834399</v>
      </c>
      <c r="K49" s="320" t="str">
        <f t="shared" si="13"/>
        <v>Nei</v>
      </c>
      <c r="L49" s="320" t="str">
        <f t="shared" si="14"/>
        <v>Nei</v>
      </c>
      <c r="M49" s="320" t="str">
        <f t="shared" si="15"/>
        <v>Bæta við grænmeti – lækka próteinkostnað</v>
      </c>
    </row>
    <row r="50" spans="1:13">
      <c r="A50" s="316" t="s">
        <v>1681</v>
      </c>
      <c r="B50" s="317">
        <f>SUMIF(Hraefnaskra[Réttur],$A50,Hraefnaskra[Magn (g)])/1000</f>
        <v>73.823999999999998</v>
      </c>
      <c r="C50" s="317">
        <f>(SUMIFS(Hraefnaskra[Magn (g)],Hraefnaskra[Réttur],$A50,Hraefnaskra[Vöruflokkur],"Grænmeti*")+SUMIFS(Hraefnaskra[Magn (g)],Hraefnaskra[Réttur],$A50,Hraefnaskra[Vöruflokkur],"Ávextir*")+SUMIFS(Hraefnaskra[Magn (g)],Hraefnaskra[Réttur],$A50,Hraefnaskra[Vöruflokkur],"Frosnar blöndur*"))/1000</f>
        <v>39.792000000000002</v>
      </c>
      <c r="D50" s="318">
        <f t="shared" si="8"/>
        <v>0.53901170351105332</v>
      </c>
      <c r="E50" s="317">
        <f>(SUMIFS(Hraefnaskra[Magn (g)],Hraefnaskra[Réttur],$A50,Hraefnaskra[Vöruflokkur],"Kjöt*")+SUMIFS(Hraefnaskra[Magn (g)],Hraefnaskra[Réttur],$A50,Hraefnaskra[Vöruflokkur],"Fiskur*")+SUMIFS(Hraefnaskra[Magn (g)],Hraefnaskra[Réttur],$A50,Hraefnaskra[Vöruflokkur],"Plöntubasað*"))/1000</f>
        <v>0</v>
      </c>
      <c r="F50" s="318">
        <f t="shared" si="9"/>
        <v>0</v>
      </c>
      <c r="G50" s="319">
        <f>SUMIF(Hraefnaskra[Réttur],$A50,Hraefnaskra[Kostnaður (kr)])</f>
        <v>32558.980000000003</v>
      </c>
      <c r="H50" s="319">
        <f t="shared" si="10"/>
        <v>441.03516471608157</v>
      </c>
      <c r="I50" s="319">
        <f t="shared" si="11"/>
        <v>132.31054941482446</v>
      </c>
      <c r="J50" s="318">
        <f t="shared" si="12"/>
        <v>0.11505265166506475</v>
      </c>
      <c r="K50" s="320" t="str">
        <f t="shared" si="13"/>
        <v>Já</v>
      </c>
      <c r="L50" s="320" t="str">
        <f t="shared" si="14"/>
        <v>Já</v>
      </c>
      <c r="M50" s="320" t="str">
        <f t="shared" si="15"/>
        <v>Í lagi</v>
      </c>
    </row>
    <row r="51" spans="1:13">
      <c r="A51" s="316" t="s">
        <v>1686</v>
      </c>
      <c r="B51" s="317">
        <f>SUMIF(Hraefnaskra[Réttur],$A51,Hraefnaskra[Magn (g)])/1000</f>
        <v>99.998000000000005</v>
      </c>
      <c r="C51" s="317">
        <f>(SUMIFS(Hraefnaskra[Magn (g)],Hraefnaskra[Réttur],$A51,Hraefnaskra[Vöruflokkur],"Grænmeti*")+SUMIFS(Hraefnaskra[Magn (g)],Hraefnaskra[Réttur],$A51,Hraefnaskra[Vöruflokkur],"Ávextir*")+SUMIFS(Hraefnaskra[Magn (g)],Hraefnaskra[Réttur],$A51,Hraefnaskra[Vöruflokkur],"Frosnar blöndur*"))/1000</f>
        <v>16.949000000000002</v>
      </c>
      <c r="D51" s="318">
        <f t="shared" si="8"/>
        <v>0.16949338986779736</v>
      </c>
      <c r="E51" s="317">
        <f>(SUMIFS(Hraefnaskra[Magn (g)],Hraefnaskra[Réttur],$A51,Hraefnaskra[Vöruflokkur],"Kjöt*")+SUMIFS(Hraefnaskra[Magn (g)],Hraefnaskra[Réttur],$A51,Hraefnaskra[Vöruflokkur],"Fiskur*")+SUMIFS(Hraefnaskra[Magn (g)],Hraefnaskra[Réttur],$A51,Hraefnaskra[Vöruflokkur],"Plöntubasað*"))/1000</f>
        <v>0</v>
      </c>
      <c r="F51" s="318">
        <f t="shared" si="9"/>
        <v>0</v>
      </c>
      <c r="G51" s="319">
        <f>SUMIF(Hraefnaskra[Réttur],$A51,Hraefnaskra[Kostnaður (kr)])</f>
        <v>103945.83</v>
      </c>
      <c r="H51" s="319">
        <f t="shared" si="10"/>
        <v>1039.4790895817916</v>
      </c>
      <c r="I51" s="319">
        <f t="shared" si="11"/>
        <v>311.84372687453748</v>
      </c>
      <c r="J51" s="318">
        <f t="shared" si="12"/>
        <v>0.27116845815177171</v>
      </c>
      <c r="K51" s="320" t="str">
        <f t="shared" si="13"/>
        <v>Nei</v>
      </c>
      <c r="L51" s="320" t="str">
        <f t="shared" si="14"/>
        <v>Já</v>
      </c>
      <c r="M51" s="320" t="str">
        <f t="shared" si="15"/>
        <v>Undir grænmetismarkmiði</v>
      </c>
    </row>
    <row r="52" spans="1:13">
      <c r="A52" s="316" t="s">
        <v>1691</v>
      </c>
      <c r="B52" s="317">
        <f>SUMIF(Hraefnaskra[Réttur],$A52,Hraefnaskra[Magn (g)])/1000</f>
        <v>100.001</v>
      </c>
      <c r="C52" s="317">
        <f>(SUMIFS(Hraefnaskra[Magn (g)],Hraefnaskra[Réttur],$A52,Hraefnaskra[Vöruflokkur],"Grænmeti*")+SUMIFS(Hraefnaskra[Magn (g)],Hraefnaskra[Réttur],$A52,Hraefnaskra[Vöruflokkur],"Ávextir*")+SUMIFS(Hraefnaskra[Magn (g)],Hraefnaskra[Réttur],$A52,Hraefnaskra[Vöruflokkur],"Frosnar blöndur*"))/1000</f>
        <v>36.284999999999997</v>
      </c>
      <c r="D52" s="318">
        <f t="shared" si="8"/>
        <v>0.36284637153628457</v>
      </c>
      <c r="E52" s="317">
        <f>(SUMIFS(Hraefnaskra[Magn (g)],Hraefnaskra[Réttur],$A52,Hraefnaskra[Vöruflokkur],"Kjöt*")+SUMIFS(Hraefnaskra[Magn (g)],Hraefnaskra[Réttur],$A52,Hraefnaskra[Vöruflokkur],"Fiskur*")+SUMIFS(Hraefnaskra[Magn (g)],Hraefnaskra[Réttur],$A52,Hraefnaskra[Vöruflokkur],"Plöntubasað*"))/1000</f>
        <v>0</v>
      </c>
      <c r="F52" s="318">
        <f t="shared" si="9"/>
        <v>0</v>
      </c>
      <c r="G52" s="319">
        <f>SUMIF(Hraefnaskra[Réttur],$A52,Hraefnaskra[Kostnaður (kr)])</f>
        <v>45720.59</v>
      </c>
      <c r="H52" s="319">
        <f t="shared" si="10"/>
        <v>457.20132798672006</v>
      </c>
      <c r="I52" s="319">
        <f t="shared" si="11"/>
        <v>137.16039839601601</v>
      </c>
      <c r="J52" s="318">
        <f t="shared" si="12"/>
        <v>0.11926991164870956</v>
      </c>
      <c r="K52" s="320" t="str">
        <f t="shared" si="13"/>
        <v>Nei</v>
      </c>
      <c r="L52" s="320" t="str">
        <f t="shared" si="14"/>
        <v>Já</v>
      </c>
      <c r="M52" s="320" t="str">
        <f t="shared" si="15"/>
        <v>Undir grænmetismarkmiði</v>
      </c>
    </row>
    <row r="53" spans="1:13">
      <c r="A53" s="316" t="s">
        <v>1697</v>
      </c>
      <c r="B53" s="317">
        <f>SUMIF(Hraefnaskra[Réttur],$A53,Hraefnaskra[Magn (g)])/1000</f>
        <v>87.034999999999997</v>
      </c>
      <c r="C53" s="317">
        <f>(SUMIFS(Hraefnaskra[Magn (g)],Hraefnaskra[Réttur],$A53,Hraefnaskra[Vöruflokkur],"Grænmeti*")+SUMIFS(Hraefnaskra[Magn (g)],Hraefnaskra[Réttur],$A53,Hraefnaskra[Vöruflokkur],"Ávextir*")+SUMIFS(Hraefnaskra[Magn (g)],Hraefnaskra[Réttur],$A53,Hraefnaskra[Vöruflokkur],"Frosnar blöndur*"))/1000</f>
        <v>43.957000000000001</v>
      </c>
      <c r="D53" s="318">
        <f t="shared" si="8"/>
        <v>0.5050496926523812</v>
      </c>
      <c r="E53" s="317">
        <f>(SUMIFS(Hraefnaskra[Magn (g)],Hraefnaskra[Réttur],$A53,Hraefnaskra[Vöruflokkur],"Kjöt*")+SUMIFS(Hraefnaskra[Magn (g)],Hraefnaskra[Réttur],$A53,Hraefnaskra[Vöruflokkur],"Fiskur*")+SUMIFS(Hraefnaskra[Magn (g)],Hraefnaskra[Réttur],$A53,Hraefnaskra[Vöruflokkur],"Plöntubasað*"))/1000</f>
        <v>0</v>
      </c>
      <c r="F53" s="318">
        <f t="shared" si="9"/>
        <v>0</v>
      </c>
      <c r="G53" s="319">
        <f>SUMIF(Hraefnaskra[Réttur],$A53,Hraefnaskra[Kostnaður (kr)])</f>
        <v>25456.036</v>
      </c>
      <c r="H53" s="319">
        <f t="shared" si="10"/>
        <v>292.48045039351985</v>
      </c>
      <c r="I53" s="319">
        <f t="shared" si="11"/>
        <v>87.744135118055951</v>
      </c>
      <c r="J53" s="318">
        <f t="shared" si="12"/>
        <v>7.6299247928744304E-2</v>
      </c>
      <c r="K53" s="320" t="str">
        <f t="shared" si="13"/>
        <v>Já</v>
      </c>
      <c r="L53" s="320" t="str">
        <f t="shared" si="14"/>
        <v>Já</v>
      </c>
      <c r="M53" s="320" t="str">
        <f t="shared" si="15"/>
        <v>Í lagi</v>
      </c>
    </row>
    <row r="54" spans="1:13">
      <c r="A54" s="316" t="s">
        <v>1702</v>
      </c>
      <c r="B54" s="317">
        <f>SUMIF(Hraefnaskra[Réttur],$A54,Hraefnaskra[Magn (g)])/1000</f>
        <v>100</v>
      </c>
      <c r="C54" s="317">
        <f>(SUMIFS(Hraefnaskra[Magn (g)],Hraefnaskra[Réttur],$A54,Hraefnaskra[Vöruflokkur],"Grænmeti*")+SUMIFS(Hraefnaskra[Magn (g)],Hraefnaskra[Réttur],$A54,Hraefnaskra[Vöruflokkur],"Ávextir*")+SUMIFS(Hraefnaskra[Magn (g)],Hraefnaskra[Réttur],$A54,Hraefnaskra[Vöruflokkur],"Frosnar blöndur*"))/1000</f>
        <v>7.53</v>
      </c>
      <c r="D54" s="318">
        <f t="shared" si="8"/>
        <v>7.5300000000000006E-2</v>
      </c>
      <c r="E54" s="317">
        <f>(SUMIFS(Hraefnaskra[Magn (g)],Hraefnaskra[Réttur],$A54,Hraefnaskra[Vöruflokkur],"Kjöt*")+SUMIFS(Hraefnaskra[Magn (g)],Hraefnaskra[Réttur],$A54,Hraefnaskra[Vöruflokkur],"Fiskur*")+SUMIFS(Hraefnaskra[Magn (g)],Hraefnaskra[Réttur],$A54,Hraefnaskra[Vöruflokkur],"Plöntubasað*"))/1000</f>
        <v>40</v>
      </c>
      <c r="F54" s="318">
        <f t="shared" si="9"/>
        <v>0.4</v>
      </c>
      <c r="G54" s="319">
        <f>SUMIF(Hraefnaskra[Réttur],$A54,Hraefnaskra[Kostnaður (kr)])</f>
        <v>99917.551999999996</v>
      </c>
      <c r="H54" s="319">
        <f t="shared" si="10"/>
        <v>999.17552000000001</v>
      </c>
      <c r="I54" s="319">
        <f t="shared" si="11"/>
        <v>299.752656</v>
      </c>
      <c r="J54" s="318">
        <f t="shared" si="12"/>
        <v>0.26065448347826087</v>
      </c>
      <c r="K54" s="320" t="str">
        <f t="shared" si="13"/>
        <v>Nei</v>
      </c>
      <c r="L54" s="320" t="str">
        <f t="shared" si="14"/>
        <v>Já</v>
      </c>
      <c r="M54" s="320" t="str">
        <f t="shared" si="15"/>
        <v>Undir grænmetismarkmiði</v>
      </c>
    </row>
    <row r="55" spans="1:13">
      <c r="A55" s="316" t="s">
        <v>1708</v>
      </c>
      <c r="B55" s="317">
        <f>SUMIF(Hraefnaskra[Réttur],$A55,Hraefnaskra[Magn (g)])/1000</f>
        <v>100</v>
      </c>
      <c r="C55" s="317">
        <f>(SUMIFS(Hraefnaskra[Magn (g)],Hraefnaskra[Réttur],$A55,Hraefnaskra[Vöruflokkur],"Grænmeti*")+SUMIFS(Hraefnaskra[Magn (g)],Hraefnaskra[Réttur],$A55,Hraefnaskra[Vöruflokkur],"Ávextir*")+SUMIFS(Hraefnaskra[Magn (g)],Hraefnaskra[Réttur],$A55,Hraefnaskra[Vöruflokkur],"Frosnar blöndur*"))/1000</f>
        <v>15</v>
      </c>
      <c r="D55" s="318">
        <f t="shared" si="8"/>
        <v>0.15</v>
      </c>
      <c r="E55" s="317">
        <f>(SUMIFS(Hraefnaskra[Magn (g)],Hraefnaskra[Réttur],$A55,Hraefnaskra[Vöruflokkur],"Kjöt*")+SUMIFS(Hraefnaskra[Magn (g)],Hraefnaskra[Réttur],$A55,Hraefnaskra[Vöruflokkur],"Fiskur*")+SUMIFS(Hraefnaskra[Magn (g)],Hraefnaskra[Réttur],$A55,Hraefnaskra[Vöruflokkur],"Plöntubasað*"))/1000</f>
        <v>0</v>
      </c>
      <c r="F55" s="318">
        <f t="shared" si="9"/>
        <v>0</v>
      </c>
      <c r="G55" s="319">
        <f>SUMIF(Hraefnaskra[Réttur],$A55,Hraefnaskra[Kostnaður (kr)])</f>
        <v>118380</v>
      </c>
      <c r="H55" s="319">
        <f t="shared" si="10"/>
        <v>1183.8</v>
      </c>
      <c r="I55" s="319">
        <f t="shared" si="11"/>
        <v>355.14</v>
      </c>
      <c r="J55" s="318">
        <f t="shared" si="12"/>
        <v>0.30881739130434782</v>
      </c>
      <c r="K55" s="320" t="str">
        <f t="shared" si="13"/>
        <v>Nei</v>
      </c>
      <c r="L55" s="320" t="str">
        <f t="shared" si="14"/>
        <v>Nei</v>
      </c>
      <c r="M55" s="320" t="str">
        <f t="shared" si="15"/>
        <v>Bæta við grænmeti – lækka próteinkostnað</v>
      </c>
    </row>
    <row r="56" spans="1:13">
      <c r="A56" s="316" t="s">
        <v>1714</v>
      </c>
      <c r="B56" s="317">
        <f>SUMIF(Hraefnaskra[Réttur],$A56,Hraefnaskra[Magn (g)])/1000</f>
        <v>100</v>
      </c>
      <c r="C56" s="317">
        <f>(SUMIFS(Hraefnaskra[Magn (g)],Hraefnaskra[Réttur],$A56,Hraefnaskra[Vöruflokkur],"Grænmeti*")+SUMIFS(Hraefnaskra[Magn (g)],Hraefnaskra[Réttur],$A56,Hraefnaskra[Vöruflokkur],"Ávextir*")+SUMIFS(Hraefnaskra[Magn (g)],Hraefnaskra[Réttur],$A56,Hraefnaskra[Vöruflokkur],"Frosnar blöndur*"))/1000</f>
        <v>70</v>
      </c>
      <c r="D56" s="318">
        <f t="shared" si="8"/>
        <v>0.7</v>
      </c>
      <c r="E56" s="317">
        <f>(SUMIFS(Hraefnaskra[Magn (g)],Hraefnaskra[Réttur],$A56,Hraefnaskra[Vöruflokkur],"Kjöt*")+SUMIFS(Hraefnaskra[Magn (g)],Hraefnaskra[Réttur],$A56,Hraefnaskra[Vöruflokkur],"Fiskur*")+SUMIFS(Hraefnaskra[Magn (g)],Hraefnaskra[Réttur],$A56,Hraefnaskra[Vöruflokkur],"Plöntubasað*"))/1000</f>
        <v>0</v>
      </c>
      <c r="F56" s="318">
        <f t="shared" si="9"/>
        <v>0</v>
      </c>
      <c r="G56" s="319">
        <f>SUMIF(Hraefnaskra[Réttur],$A56,Hraefnaskra[Kostnaður (kr)])</f>
        <v>76208</v>
      </c>
      <c r="H56" s="319">
        <f t="shared" si="10"/>
        <v>762.08</v>
      </c>
      <c r="I56" s="319">
        <f t="shared" si="11"/>
        <v>228.624</v>
      </c>
      <c r="J56" s="318">
        <f t="shared" si="12"/>
        <v>0.19880347826086955</v>
      </c>
      <c r="K56" s="320" t="str">
        <f t="shared" si="13"/>
        <v>Já</v>
      </c>
      <c r="L56" s="320" t="str">
        <f t="shared" si="14"/>
        <v>Já</v>
      </c>
      <c r="M56" s="320" t="str">
        <f t="shared" si="15"/>
        <v>Í lagi</v>
      </c>
    </row>
    <row r="57" spans="1:13">
      <c r="A57" s="316" t="s">
        <v>1719</v>
      </c>
      <c r="B57" s="317">
        <f>SUMIF(Hraefnaskra[Réttur],$A57,Hraefnaskra[Magn (g)])/1000</f>
        <v>70</v>
      </c>
      <c r="C57" s="317">
        <f>(SUMIFS(Hraefnaskra[Magn (g)],Hraefnaskra[Réttur],$A57,Hraefnaskra[Vöruflokkur],"Grænmeti*")+SUMIFS(Hraefnaskra[Magn (g)],Hraefnaskra[Réttur],$A57,Hraefnaskra[Vöruflokkur],"Ávextir*")+SUMIFS(Hraefnaskra[Magn (g)],Hraefnaskra[Réttur],$A57,Hraefnaskra[Vöruflokkur],"Frosnar blöndur*"))/1000</f>
        <v>26</v>
      </c>
      <c r="D57" s="318">
        <f t="shared" si="8"/>
        <v>0.37142857142857144</v>
      </c>
      <c r="E57" s="317">
        <f>(SUMIFS(Hraefnaskra[Magn (g)],Hraefnaskra[Réttur],$A57,Hraefnaskra[Vöruflokkur],"Kjöt*")+SUMIFS(Hraefnaskra[Magn (g)],Hraefnaskra[Réttur],$A57,Hraefnaskra[Vöruflokkur],"Fiskur*")+SUMIFS(Hraefnaskra[Magn (g)],Hraefnaskra[Réttur],$A57,Hraefnaskra[Vöruflokkur],"Plöntubasað*"))/1000</f>
        <v>30</v>
      </c>
      <c r="F57" s="318">
        <f t="shared" si="9"/>
        <v>0.42857142857142855</v>
      </c>
      <c r="G57" s="319">
        <f>SUMIF(Hraefnaskra[Réttur],$A57,Hraefnaskra[Kostnaður (kr)])</f>
        <v>69785</v>
      </c>
      <c r="H57" s="319">
        <f t="shared" si="10"/>
        <v>996.92857142857144</v>
      </c>
      <c r="I57" s="319">
        <f t="shared" si="11"/>
        <v>299.07857142857142</v>
      </c>
      <c r="J57" s="318">
        <f t="shared" si="12"/>
        <v>0.26006832298136645</v>
      </c>
      <c r="K57" s="320" t="str">
        <f t="shared" si="13"/>
        <v>Nei</v>
      </c>
      <c r="L57" s="320" t="str">
        <f t="shared" si="14"/>
        <v>Já</v>
      </c>
      <c r="M57" s="320" t="str">
        <f t="shared" si="15"/>
        <v>Undir grænmetismarkmiði</v>
      </c>
    </row>
    <row r="58" spans="1:13">
      <c r="A58" s="316" t="s">
        <v>1724</v>
      </c>
      <c r="B58" s="317">
        <f>SUMIF(Hraefnaskra[Réttur],$A58,Hraefnaskra[Magn (g)])/1000</f>
        <v>100</v>
      </c>
      <c r="C58" s="317">
        <f>(SUMIFS(Hraefnaskra[Magn (g)],Hraefnaskra[Réttur],$A58,Hraefnaskra[Vöruflokkur],"Grænmeti*")+SUMIFS(Hraefnaskra[Magn (g)],Hraefnaskra[Réttur],$A58,Hraefnaskra[Vöruflokkur],"Ávextir*")+SUMIFS(Hraefnaskra[Magn (g)],Hraefnaskra[Réttur],$A58,Hraefnaskra[Vöruflokkur],"Frosnar blöndur*"))/1000</f>
        <v>15</v>
      </c>
      <c r="D58" s="318">
        <f t="shared" si="8"/>
        <v>0.15</v>
      </c>
      <c r="E58" s="317">
        <f>(SUMIFS(Hraefnaskra[Magn (g)],Hraefnaskra[Réttur],$A58,Hraefnaskra[Vöruflokkur],"Kjöt*")+SUMIFS(Hraefnaskra[Magn (g)],Hraefnaskra[Réttur],$A58,Hraefnaskra[Vöruflokkur],"Fiskur*")+SUMIFS(Hraefnaskra[Magn (g)],Hraefnaskra[Réttur],$A58,Hraefnaskra[Vöruflokkur],"Plöntubasað*"))/1000</f>
        <v>0</v>
      </c>
      <c r="F58" s="318">
        <f t="shared" si="9"/>
        <v>0</v>
      </c>
      <c r="G58" s="319">
        <f>SUMIF(Hraefnaskra[Réttur],$A58,Hraefnaskra[Kostnaður (kr)])</f>
        <v>80560</v>
      </c>
      <c r="H58" s="319">
        <f t="shared" si="10"/>
        <v>805.6</v>
      </c>
      <c r="I58" s="319">
        <f t="shared" si="11"/>
        <v>241.68</v>
      </c>
      <c r="J58" s="318">
        <f t="shared" si="12"/>
        <v>0.21015652173913044</v>
      </c>
      <c r="K58" s="320" t="str">
        <f t="shared" si="13"/>
        <v>Nei</v>
      </c>
      <c r="L58" s="320" t="str">
        <f t="shared" si="14"/>
        <v>Já</v>
      </c>
      <c r="M58" s="320" t="str">
        <f t="shared" si="15"/>
        <v>Undir grænmetismarkmiði</v>
      </c>
    </row>
    <row r="59" spans="1:13">
      <c r="A59" s="316" t="s">
        <v>1730</v>
      </c>
      <c r="B59" s="317">
        <f>SUMIF(Hraefnaskra[Réttur],$A59,Hraefnaskra[Magn (g)])/1000</f>
        <v>100</v>
      </c>
      <c r="C59" s="317">
        <f>(SUMIFS(Hraefnaskra[Magn (g)],Hraefnaskra[Réttur],$A59,Hraefnaskra[Vöruflokkur],"Grænmeti*")+SUMIFS(Hraefnaskra[Magn (g)],Hraefnaskra[Réttur],$A59,Hraefnaskra[Vöruflokkur],"Ávextir*")+SUMIFS(Hraefnaskra[Magn (g)],Hraefnaskra[Réttur],$A59,Hraefnaskra[Vöruflokkur],"Frosnar blöndur*"))/1000</f>
        <v>35.5</v>
      </c>
      <c r="D59" s="318">
        <f t="shared" si="8"/>
        <v>0.35499999999999998</v>
      </c>
      <c r="E59" s="317">
        <f>(SUMIFS(Hraefnaskra[Magn (g)],Hraefnaskra[Réttur],$A59,Hraefnaskra[Vöruflokkur],"Kjöt*")+SUMIFS(Hraefnaskra[Magn (g)],Hraefnaskra[Réttur],$A59,Hraefnaskra[Vöruflokkur],"Fiskur*")+SUMIFS(Hraefnaskra[Magn (g)],Hraefnaskra[Réttur],$A59,Hraefnaskra[Vöruflokkur],"Plöntubasað*"))/1000</f>
        <v>0</v>
      </c>
      <c r="F59" s="318">
        <f t="shared" si="9"/>
        <v>0</v>
      </c>
      <c r="G59" s="319">
        <f>SUMIF(Hraefnaskra[Réttur],$A59,Hraefnaskra[Kostnaður (kr)])</f>
        <v>82918</v>
      </c>
      <c r="H59" s="319">
        <f t="shared" si="10"/>
        <v>829.18</v>
      </c>
      <c r="I59" s="319">
        <f t="shared" si="11"/>
        <v>248.75399999999996</v>
      </c>
      <c r="J59" s="318">
        <f t="shared" si="12"/>
        <v>0.21630782608695648</v>
      </c>
      <c r="K59" s="320" t="str">
        <f t="shared" si="13"/>
        <v>Nei</v>
      </c>
      <c r="L59" s="320" t="str">
        <f t="shared" si="14"/>
        <v>Já</v>
      </c>
      <c r="M59" s="320" t="str">
        <f t="shared" si="15"/>
        <v>Undir grænmetismarkmiði</v>
      </c>
    </row>
    <row r="60" spans="1:13">
      <c r="A60" s="316" t="s">
        <v>1736</v>
      </c>
      <c r="B60" s="317">
        <f>SUMIF(Hraefnaskra[Réttur],$A60,Hraefnaskra[Magn (g)])/1000</f>
        <v>75</v>
      </c>
      <c r="C60" s="317">
        <f>(SUMIFS(Hraefnaskra[Magn (g)],Hraefnaskra[Réttur],$A60,Hraefnaskra[Vöruflokkur],"Grænmeti*")+SUMIFS(Hraefnaskra[Magn (g)],Hraefnaskra[Réttur],$A60,Hraefnaskra[Vöruflokkur],"Ávextir*")+SUMIFS(Hraefnaskra[Magn (g)],Hraefnaskra[Réttur],$A60,Hraefnaskra[Vöruflokkur],"Frosnar blöndur*"))/1000</f>
        <v>6</v>
      </c>
      <c r="D60" s="318">
        <f t="shared" si="8"/>
        <v>0.08</v>
      </c>
      <c r="E60" s="317">
        <f>(SUMIFS(Hraefnaskra[Magn (g)],Hraefnaskra[Réttur],$A60,Hraefnaskra[Vöruflokkur],"Kjöt*")+SUMIFS(Hraefnaskra[Magn (g)],Hraefnaskra[Réttur],$A60,Hraefnaskra[Vöruflokkur],"Fiskur*")+SUMIFS(Hraefnaskra[Magn (g)],Hraefnaskra[Réttur],$A60,Hraefnaskra[Vöruflokkur],"Plöntubasað*"))/1000</f>
        <v>0</v>
      </c>
      <c r="F60" s="318">
        <f t="shared" si="9"/>
        <v>0</v>
      </c>
      <c r="G60" s="319">
        <f>SUMIF(Hraefnaskra[Réttur],$A60,Hraefnaskra[Kostnaður (kr)])</f>
        <v>68742.5</v>
      </c>
      <c r="H60" s="319">
        <f t="shared" si="10"/>
        <v>916.56666666666672</v>
      </c>
      <c r="I60" s="319">
        <f t="shared" si="11"/>
        <v>274.97000000000003</v>
      </c>
      <c r="J60" s="318">
        <f t="shared" si="12"/>
        <v>0.23910434782608697</v>
      </c>
      <c r="K60" s="320" t="str">
        <f t="shared" si="13"/>
        <v>Nei</v>
      </c>
      <c r="L60" s="320" t="str">
        <f t="shared" si="14"/>
        <v>Já</v>
      </c>
      <c r="M60" s="320" t="str">
        <f t="shared" si="15"/>
        <v>Undir grænmetismarkmiði</v>
      </c>
    </row>
    <row r="61" spans="1:13">
      <c r="A61" s="316" t="s">
        <v>1741</v>
      </c>
      <c r="B61" s="317">
        <f>SUMIF(Hraefnaskra[Réttur],$A61,Hraefnaskra[Magn (g)])/1000</f>
        <v>100</v>
      </c>
      <c r="C61" s="317">
        <f>(SUMIFS(Hraefnaskra[Magn (g)],Hraefnaskra[Réttur],$A61,Hraefnaskra[Vöruflokkur],"Grænmeti*")+SUMIFS(Hraefnaskra[Magn (g)],Hraefnaskra[Réttur],$A61,Hraefnaskra[Vöruflokkur],"Ávextir*")+SUMIFS(Hraefnaskra[Magn (g)],Hraefnaskra[Réttur],$A61,Hraefnaskra[Vöruflokkur],"Frosnar blöndur*"))/1000</f>
        <v>0</v>
      </c>
      <c r="D61" s="318">
        <f t="shared" si="8"/>
        <v>0</v>
      </c>
      <c r="E61" s="317">
        <f>(SUMIFS(Hraefnaskra[Magn (g)],Hraefnaskra[Réttur],$A61,Hraefnaskra[Vöruflokkur],"Kjöt*")+SUMIFS(Hraefnaskra[Magn (g)],Hraefnaskra[Réttur],$A61,Hraefnaskra[Vöruflokkur],"Fiskur*")+SUMIFS(Hraefnaskra[Magn (g)],Hraefnaskra[Réttur],$A61,Hraefnaskra[Vöruflokkur],"Plöntubasað*"))/1000</f>
        <v>0</v>
      </c>
      <c r="F61" s="318">
        <f t="shared" si="9"/>
        <v>0</v>
      </c>
      <c r="G61" s="319">
        <f>SUMIF(Hraefnaskra[Réttur],$A61,Hraefnaskra[Kostnaður (kr)])</f>
        <v>26002.71</v>
      </c>
      <c r="H61" s="319">
        <f t="shared" si="10"/>
        <v>260.02710000000002</v>
      </c>
      <c r="I61" s="319">
        <f t="shared" si="11"/>
        <v>78.008130000000008</v>
      </c>
      <c r="J61" s="318">
        <f t="shared" si="12"/>
        <v>6.7833156521739144E-2</v>
      </c>
      <c r="K61" s="320" t="str">
        <f t="shared" si="13"/>
        <v>Nei</v>
      </c>
      <c r="L61" s="320" t="str">
        <f t="shared" si="14"/>
        <v>Já</v>
      </c>
      <c r="M61" s="320" t="str">
        <f t="shared" si="15"/>
        <v>Undir grænmetismarkmiði</v>
      </c>
    </row>
    <row r="62" spans="1:13">
      <c r="A62" s="316" t="s">
        <v>1746</v>
      </c>
      <c r="B62" s="317">
        <f>SUMIF(Hraefnaskra[Réttur],$A62,Hraefnaskra[Magn (g)])/1000</f>
        <v>91.97</v>
      </c>
      <c r="C62" s="317">
        <f>(SUMIFS(Hraefnaskra[Magn (g)],Hraefnaskra[Réttur],$A62,Hraefnaskra[Vöruflokkur],"Grænmeti*")+SUMIFS(Hraefnaskra[Magn (g)],Hraefnaskra[Réttur],$A62,Hraefnaskra[Vöruflokkur],"Ávextir*")+SUMIFS(Hraefnaskra[Magn (g)],Hraefnaskra[Réttur],$A62,Hraefnaskra[Vöruflokkur],"Frosnar blöndur*"))/1000</f>
        <v>32.655000000000001</v>
      </c>
      <c r="D62" s="318">
        <f t="shared" si="8"/>
        <v>0.35506143307600307</v>
      </c>
      <c r="E62" s="317">
        <f>(SUMIFS(Hraefnaskra[Magn (g)],Hraefnaskra[Réttur],$A62,Hraefnaskra[Vöruflokkur],"Kjöt*")+SUMIFS(Hraefnaskra[Magn (g)],Hraefnaskra[Réttur],$A62,Hraefnaskra[Vöruflokkur],"Fiskur*")+SUMIFS(Hraefnaskra[Magn (g)],Hraefnaskra[Réttur],$A62,Hraefnaskra[Vöruflokkur],"Plöntubasað*"))/1000</f>
        <v>0</v>
      </c>
      <c r="F62" s="318">
        <f t="shared" si="9"/>
        <v>0</v>
      </c>
      <c r="G62" s="319">
        <f>SUMIF(Hraefnaskra[Réttur],$A62,Hraefnaskra[Kostnaður (kr)])</f>
        <v>35500.862000000001</v>
      </c>
      <c r="H62" s="319">
        <f t="shared" si="10"/>
        <v>386.00480591497228</v>
      </c>
      <c r="I62" s="319">
        <f t="shared" si="11"/>
        <v>115.80144177449168</v>
      </c>
      <c r="J62" s="318">
        <f t="shared" si="12"/>
        <v>0.10069690589086233</v>
      </c>
      <c r="K62" s="320" t="str">
        <f t="shared" si="13"/>
        <v>Nei</v>
      </c>
      <c r="L62" s="320" t="str">
        <f t="shared" si="14"/>
        <v>Já</v>
      </c>
      <c r="M62" s="320" t="str">
        <f t="shared" si="15"/>
        <v>Undir grænmetismarkmiði</v>
      </c>
    </row>
    <row r="63" spans="1:13">
      <c r="A63" s="316" t="s">
        <v>1751</v>
      </c>
      <c r="B63" s="317">
        <f>SUMIF(Hraefnaskra[Réttur],$A63,Hraefnaskra[Magn (g)])/1000</f>
        <v>100</v>
      </c>
      <c r="C63" s="317">
        <f>(SUMIFS(Hraefnaskra[Magn (g)],Hraefnaskra[Réttur],$A63,Hraefnaskra[Vöruflokkur],"Grænmeti*")+SUMIFS(Hraefnaskra[Magn (g)],Hraefnaskra[Réttur],$A63,Hraefnaskra[Vöruflokkur],"Ávextir*")+SUMIFS(Hraefnaskra[Magn (g)],Hraefnaskra[Réttur],$A63,Hraefnaskra[Vöruflokkur],"Frosnar blöndur*"))/1000</f>
        <v>9.4670000000000005</v>
      </c>
      <c r="D63" s="318">
        <f t="shared" si="8"/>
        <v>9.4670000000000004E-2</v>
      </c>
      <c r="E63" s="317">
        <f>(SUMIFS(Hraefnaskra[Magn (g)],Hraefnaskra[Réttur],$A63,Hraefnaskra[Vöruflokkur],"Kjöt*")+SUMIFS(Hraefnaskra[Magn (g)],Hraefnaskra[Réttur],$A63,Hraefnaskra[Vöruflokkur],"Fiskur*")+SUMIFS(Hraefnaskra[Magn (g)],Hraefnaskra[Réttur],$A63,Hraefnaskra[Vöruflokkur],"Plöntubasað*"))/1000</f>
        <v>5.992</v>
      </c>
      <c r="F63" s="318">
        <f t="shared" si="9"/>
        <v>5.9920000000000001E-2</v>
      </c>
      <c r="G63" s="319">
        <f>SUMIF(Hraefnaskra[Réttur],$A63,Hraefnaskra[Kostnaður (kr)])</f>
        <v>60005.48</v>
      </c>
      <c r="H63" s="319">
        <f t="shared" si="10"/>
        <v>600.0548</v>
      </c>
      <c r="I63" s="319">
        <f t="shared" si="11"/>
        <v>180.01643999999999</v>
      </c>
      <c r="J63" s="318">
        <f t="shared" si="12"/>
        <v>0.15653603478260869</v>
      </c>
      <c r="K63" s="320" t="str">
        <f t="shared" si="13"/>
        <v>Nei</v>
      </c>
      <c r="L63" s="320" t="str">
        <f t="shared" si="14"/>
        <v>Já</v>
      </c>
      <c r="M63" s="320" t="str">
        <f t="shared" si="15"/>
        <v>Undir grænmetismarkmiði</v>
      </c>
    </row>
    <row r="64" spans="1:13">
      <c r="A64" s="316" t="s">
        <v>1756</v>
      </c>
      <c r="B64" s="317">
        <f>SUMIF(Hraefnaskra[Réttur],$A64,Hraefnaskra[Magn (g)])/1000</f>
        <v>100</v>
      </c>
      <c r="C64" s="317">
        <f>(SUMIFS(Hraefnaskra[Magn (g)],Hraefnaskra[Réttur],$A64,Hraefnaskra[Vöruflokkur],"Grænmeti*")+SUMIFS(Hraefnaskra[Magn (g)],Hraefnaskra[Réttur],$A64,Hraefnaskra[Vöruflokkur],"Ávextir*")+SUMIFS(Hraefnaskra[Magn (g)],Hraefnaskra[Réttur],$A64,Hraefnaskra[Vöruflokkur],"Frosnar blöndur*"))/1000</f>
        <v>6.15</v>
      </c>
      <c r="D64" s="318">
        <f t="shared" si="8"/>
        <v>6.1500000000000006E-2</v>
      </c>
      <c r="E64" s="317">
        <f>(SUMIFS(Hraefnaskra[Magn (g)],Hraefnaskra[Réttur],$A64,Hraefnaskra[Vöruflokkur],"Kjöt*")+SUMIFS(Hraefnaskra[Magn (g)],Hraefnaskra[Réttur],$A64,Hraefnaskra[Vöruflokkur],"Fiskur*")+SUMIFS(Hraefnaskra[Magn (g)],Hraefnaskra[Réttur],$A64,Hraefnaskra[Vöruflokkur],"Plöntubasað*"))/1000</f>
        <v>9</v>
      </c>
      <c r="F64" s="318">
        <f t="shared" si="9"/>
        <v>0.09</v>
      </c>
      <c r="G64" s="319">
        <f>SUMIF(Hraefnaskra[Réttur],$A64,Hraefnaskra[Kostnaður (kr)])</f>
        <v>43458.719999999994</v>
      </c>
      <c r="H64" s="319">
        <f t="shared" si="10"/>
        <v>434.58719999999994</v>
      </c>
      <c r="I64" s="319">
        <f t="shared" si="11"/>
        <v>130.37615999999997</v>
      </c>
      <c r="J64" s="318">
        <f t="shared" si="12"/>
        <v>0.11337057391304345</v>
      </c>
      <c r="K64" s="320" t="str">
        <f t="shared" si="13"/>
        <v>Nei</v>
      </c>
      <c r="L64" s="320" t="str">
        <f t="shared" si="14"/>
        <v>Já</v>
      </c>
      <c r="M64" s="320" t="str">
        <f t="shared" si="15"/>
        <v>Undir grænmetismarkmiði</v>
      </c>
    </row>
    <row r="65" spans="1:13">
      <c r="A65" s="316" t="s">
        <v>1761</v>
      </c>
      <c r="B65" s="317">
        <f>SUMIF(Hraefnaskra[Réttur],$A65,Hraefnaskra[Magn (g)])/1000</f>
        <v>100</v>
      </c>
      <c r="C65" s="317">
        <f>(SUMIFS(Hraefnaskra[Magn (g)],Hraefnaskra[Réttur],$A65,Hraefnaskra[Vöruflokkur],"Grænmeti*")+SUMIFS(Hraefnaskra[Magn (g)],Hraefnaskra[Réttur],$A65,Hraefnaskra[Vöruflokkur],"Ávextir*")+SUMIFS(Hraefnaskra[Magn (g)],Hraefnaskra[Réttur],$A65,Hraefnaskra[Vöruflokkur],"Frosnar blöndur*"))/1000</f>
        <v>53</v>
      </c>
      <c r="D65" s="318">
        <f t="shared" si="8"/>
        <v>0.53</v>
      </c>
      <c r="E65" s="317">
        <f>(SUMIFS(Hraefnaskra[Magn (g)],Hraefnaskra[Réttur],$A65,Hraefnaskra[Vöruflokkur],"Kjöt*")+SUMIFS(Hraefnaskra[Magn (g)],Hraefnaskra[Réttur],$A65,Hraefnaskra[Vöruflokkur],"Fiskur*")+SUMIFS(Hraefnaskra[Magn (g)],Hraefnaskra[Réttur],$A65,Hraefnaskra[Vöruflokkur],"Plöntubasað*"))/1000</f>
        <v>20</v>
      </c>
      <c r="F65" s="318">
        <f t="shared" si="9"/>
        <v>0.2</v>
      </c>
      <c r="G65" s="319">
        <f>SUMIF(Hraefnaskra[Réttur],$A65,Hraefnaskra[Kostnaður (kr)])</f>
        <v>101993.5</v>
      </c>
      <c r="H65" s="319">
        <f t="shared" si="10"/>
        <v>1019.9349999999999</v>
      </c>
      <c r="I65" s="319">
        <f t="shared" si="11"/>
        <v>305.98049999999995</v>
      </c>
      <c r="J65" s="318">
        <f t="shared" si="12"/>
        <v>0.26606999999999997</v>
      </c>
      <c r="K65" s="320" t="str">
        <f t="shared" si="13"/>
        <v>Já</v>
      </c>
      <c r="L65" s="320" t="str">
        <f t="shared" si="14"/>
        <v>Já</v>
      </c>
      <c r="M65" s="320" t="str">
        <f t="shared" si="15"/>
        <v>Í lagi</v>
      </c>
    </row>
    <row r="66" spans="1:13">
      <c r="A66" s="316" t="s">
        <v>1766</v>
      </c>
      <c r="B66" s="317">
        <f>SUMIF(Hraefnaskra[Réttur],$A66,Hraefnaskra[Magn (g)])/1000</f>
        <v>99</v>
      </c>
      <c r="C66" s="317">
        <f>(SUMIFS(Hraefnaskra[Magn (g)],Hraefnaskra[Réttur],$A66,Hraefnaskra[Vöruflokkur],"Grænmeti*")+SUMIFS(Hraefnaskra[Magn (g)],Hraefnaskra[Réttur],$A66,Hraefnaskra[Vöruflokkur],"Ávextir*")+SUMIFS(Hraefnaskra[Magn (g)],Hraefnaskra[Réttur],$A66,Hraefnaskra[Vöruflokkur],"Frosnar blöndur*"))/1000</f>
        <v>8</v>
      </c>
      <c r="D66" s="318">
        <f t="shared" si="8"/>
        <v>8.0808080808080815E-2</v>
      </c>
      <c r="E66" s="317">
        <f>(SUMIFS(Hraefnaskra[Magn (g)],Hraefnaskra[Réttur],$A66,Hraefnaskra[Vöruflokkur],"Kjöt*")+SUMIFS(Hraefnaskra[Magn (g)],Hraefnaskra[Réttur],$A66,Hraefnaskra[Vöruflokkur],"Fiskur*")+SUMIFS(Hraefnaskra[Magn (g)],Hraefnaskra[Réttur],$A66,Hraefnaskra[Vöruflokkur],"Plöntubasað*"))/1000</f>
        <v>0</v>
      </c>
      <c r="F66" s="318">
        <f t="shared" si="9"/>
        <v>0</v>
      </c>
      <c r="G66" s="319">
        <f>SUMIF(Hraefnaskra[Réttur],$A66,Hraefnaskra[Kostnaður (kr)])</f>
        <v>46871.5</v>
      </c>
      <c r="H66" s="319">
        <f t="shared" si="10"/>
        <v>473.44949494949498</v>
      </c>
      <c r="I66" s="319">
        <f t="shared" si="11"/>
        <v>142.03484848484848</v>
      </c>
      <c r="J66" s="318">
        <f t="shared" si="12"/>
        <v>0.12350856389986825</v>
      </c>
      <c r="K66" s="320" t="str">
        <f t="shared" si="13"/>
        <v>Nei</v>
      </c>
      <c r="L66" s="320" t="str">
        <f t="shared" si="14"/>
        <v>Já</v>
      </c>
      <c r="M66" s="320" t="str">
        <f t="shared" si="15"/>
        <v>Undir grænmetismarkmiði</v>
      </c>
    </row>
    <row r="67" spans="1:13">
      <c r="A67" s="316" t="s">
        <v>1771</v>
      </c>
      <c r="B67" s="317">
        <f>SUMIF(Hraefnaskra[Réttur],$A67,Hraefnaskra[Magn (g)])/1000</f>
        <v>100</v>
      </c>
      <c r="C67" s="317">
        <f>(SUMIFS(Hraefnaskra[Magn (g)],Hraefnaskra[Réttur],$A67,Hraefnaskra[Vöruflokkur],"Grænmeti*")+SUMIFS(Hraefnaskra[Magn (g)],Hraefnaskra[Réttur],$A67,Hraefnaskra[Vöruflokkur],"Ávextir*")+SUMIFS(Hraefnaskra[Magn (g)],Hraefnaskra[Réttur],$A67,Hraefnaskra[Vöruflokkur],"Frosnar blöndur*"))/1000</f>
        <v>40</v>
      </c>
      <c r="D67" s="318">
        <f t="shared" si="8"/>
        <v>0.4</v>
      </c>
      <c r="E67" s="317">
        <f>(SUMIFS(Hraefnaskra[Magn (g)],Hraefnaskra[Réttur],$A67,Hraefnaskra[Vöruflokkur],"Kjöt*")+SUMIFS(Hraefnaskra[Magn (g)],Hraefnaskra[Réttur],$A67,Hraefnaskra[Vöruflokkur],"Fiskur*")+SUMIFS(Hraefnaskra[Magn (g)],Hraefnaskra[Réttur],$A67,Hraefnaskra[Vöruflokkur],"Plöntubasað*"))/1000</f>
        <v>0</v>
      </c>
      <c r="F67" s="318">
        <f t="shared" si="9"/>
        <v>0</v>
      </c>
      <c r="G67" s="319">
        <f>SUMIF(Hraefnaskra[Réttur],$A67,Hraefnaskra[Kostnaður (kr)])</f>
        <v>49546</v>
      </c>
      <c r="H67" s="319">
        <f t="shared" si="10"/>
        <v>495.46</v>
      </c>
      <c r="I67" s="319">
        <f t="shared" si="11"/>
        <v>148.63799999999998</v>
      </c>
      <c r="J67" s="318">
        <f t="shared" si="12"/>
        <v>0.12925043478260867</v>
      </c>
      <c r="K67" s="320" t="str">
        <f t="shared" si="13"/>
        <v>Nei</v>
      </c>
      <c r="L67" s="320" t="str">
        <f t="shared" si="14"/>
        <v>Já</v>
      </c>
      <c r="M67" s="320" t="str">
        <f t="shared" si="15"/>
        <v>Undir grænmetismarkmiði</v>
      </c>
    </row>
    <row r="68" spans="1:13">
      <c r="A68" s="316" t="s">
        <v>1776</v>
      </c>
      <c r="B68" s="317">
        <f>SUMIF(Hraefnaskra[Réttur],$A68,Hraefnaskra[Magn (g)])/1000</f>
        <v>101</v>
      </c>
      <c r="C68" s="317">
        <f>(SUMIFS(Hraefnaskra[Magn (g)],Hraefnaskra[Réttur],$A68,Hraefnaskra[Vöruflokkur],"Grænmeti*")+SUMIFS(Hraefnaskra[Magn (g)],Hraefnaskra[Réttur],$A68,Hraefnaskra[Vöruflokkur],"Ávextir*")+SUMIFS(Hraefnaskra[Magn (g)],Hraefnaskra[Réttur],$A68,Hraefnaskra[Vöruflokkur],"Frosnar blöndur*"))/1000</f>
        <v>42</v>
      </c>
      <c r="D68" s="318">
        <f t="shared" si="8"/>
        <v>0.41584158415841582</v>
      </c>
      <c r="E68" s="317">
        <f>(SUMIFS(Hraefnaskra[Magn (g)],Hraefnaskra[Réttur],$A68,Hraefnaskra[Vöruflokkur],"Kjöt*")+SUMIFS(Hraefnaskra[Magn (g)],Hraefnaskra[Réttur],$A68,Hraefnaskra[Vöruflokkur],"Fiskur*")+SUMIFS(Hraefnaskra[Magn (g)],Hraefnaskra[Réttur],$A68,Hraefnaskra[Vöruflokkur],"Plöntubasað*"))/1000</f>
        <v>0</v>
      </c>
      <c r="F68" s="318">
        <f t="shared" si="9"/>
        <v>0</v>
      </c>
      <c r="G68" s="319">
        <f>SUMIF(Hraefnaskra[Réttur],$A68,Hraefnaskra[Kostnaður (kr)])</f>
        <v>65120</v>
      </c>
      <c r="H68" s="319">
        <f t="shared" si="10"/>
        <v>644.75247524752479</v>
      </c>
      <c r="I68" s="319">
        <f t="shared" si="11"/>
        <v>193.42574257425744</v>
      </c>
      <c r="J68" s="318">
        <f t="shared" si="12"/>
        <v>0.16819629789065865</v>
      </c>
      <c r="K68" s="320" t="str">
        <f t="shared" si="13"/>
        <v>Nei</v>
      </c>
      <c r="L68" s="320" t="str">
        <f t="shared" si="14"/>
        <v>Já</v>
      </c>
      <c r="M68" s="320" t="str">
        <f t="shared" si="15"/>
        <v>Undir grænmetismarkmiði</v>
      </c>
    </row>
    <row r="69" spans="1:13">
      <c r="A69" s="316" t="s">
        <v>1781</v>
      </c>
      <c r="B69" s="317">
        <f>SUMIF(Hraefnaskra[Réttur],$A69,Hraefnaskra[Magn (g)])/1000</f>
        <v>100</v>
      </c>
      <c r="C69" s="317">
        <f>(SUMIFS(Hraefnaskra[Magn (g)],Hraefnaskra[Réttur],$A69,Hraefnaskra[Vöruflokkur],"Grænmeti*")+SUMIFS(Hraefnaskra[Magn (g)],Hraefnaskra[Réttur],$A69,Hraefnaskra[Vöruflokkur],"Ávextir*")+SUMIFS(Hraefnaskra[Magn (g)],Hraefnaskra[Réttur],$A69,Hraefnaskra[Vöruflokkur],"Frosnar blöndur*"))/1000</f>
        <v>6</v>
      </c>
      <c r="D69" s="318">
        <f t="shared" si="8"/>
        <v>0.06</v>
      </c>
      <c r="E69" s="317">
        <f>(SUMIFS(Hraefnaskra[Magn (g)],Hraefnaskra[Réttur],$A69,Hraefnaskra[Vöruflokkur],"Kjöt*")+SUMIFS(Hraefnaskra[Magn (g)],Hraefnaskra[Réttur],$A69,Hraefnaskra[Vöruflokkur],"Fiskur*")+SUMIFS(Hraefnaskra[Magn (g)],Hraefnaskra[Réttur],$A69,Hraefnaskra[Vöruflokkur],"Plöntubasað*"))/1000</f>
        <v>0</v>
      </c>
      <c r="F69" s="318">
        <f t="shared" si="9"/>
        <v>0</v>
      </c>
      <c r="G69" s="319">
        <f>SUMIF(Hraefnaskra[Réttur],$A69,Hraefnaskra[Kostnaður (kr)])</f>
        <v>54825.5</v>
      </c>
      <c r="H69" s="319">
        <f t="shared" si="10"/>
        <v>548.255</v>
      </c>
      <c r="I69" s="319">
        <f t="shared" si="11"/>
        <v>164.47649999999999</v>
      </c>
      <c r="J69" s="318">
        <f t="shared" si="12"/>
        <v>0.14302304347826086</v>
      </c>
      <c r="K69" s="320" t="str">
        <f t="shared" si="13"/>
        <v>Nei</v>
      </c>
      <c r="L69" s="320" t="str">
        <f t="shared" si="14"/>
        <v>Já</v>
      </c>
      <c r="M69" s="320" t="str">
        <f t="shared" si="15"/>
        <v>Undir grænmetismarkmiði</v>
      </c>
    </row>
    <row r="70" spans="1:13">
      <c r="A70" s="316" t="s">
        <v>1786</v>
      </c>
      <c r="B70" s="317">
        <f>SUMIF(Hraefnaskra[Réttur],$A70,Hraefnaskra[Magn (g)])/1000</f>
        <v>100</v>
      </c>
      <c r="C70" s="317">
        <f>(SUMIFS(Hraefnaskra[Magn (g)],Hraefnaskra[Réttur],$A70,Hraefnaskra[Vöruflokkur],"Grænmeti*")+SUMIFS(Hraefnaskra[Magn (g)],Hraefnaskra[Réttur],$A70,Hraefnaskra[Vöruflokkur],"Ávextir*")+SUMIFS(Hraefnaskra[Magn (g)],Hraefnaskra[Réttur],$A70,Hraefnaskra[Vöruflokkur],"Frosnar blöndur*"))/1000</f>
        <v>38.5</v>
      </c>
      <c r="D70" s="318">
        <f t="shared" si="8"/>
        <v>0.38500000000000001</v>
      </c>
      <c r="E70" s="317">
        <f>(SUMIFS(Hraefnaskra[Magn (g)],Hraefnaskra[Réttur],$A70,Hraefnaskra[Vöruflokkur],"Kjöt*")+SUMIFS(Hraefnaskra[Magn (g)],Hraefnaskra[Réttur],$A70,Hraefnaskra[Vöruflokkur],"Fiskur*")+SUMIFS(Hraefnaskra[Magn (g)],Hraefnaskra[Réttur],$A70,Hraefnaskra[Vöruflokkur],"Plöntubasað*"))/1000</f>
        <v>0</v>
      </c>
      <c r="F70" s="318">
        <f t="shared" si="9"/>
        <v>0</v>
      </c>
      <c r="G70" s="319">
        <f>SUMIF(Hraefnaskra[Réttur],$A70,Hraefnaskra[Kostnaður (kr)])</f>
        <v>67210</v>
      </c>
      <c r="H70" s="319">
        <f t="shared" si="10"/>
        <v>672.1</v>
      </c>
      <c r="I70" s="319">
        <f t="shared" si="11"/>
        <v>201.63</v>
      </c>
      <c r="J70" s="318">
        <f t="shared" si="12"/>
        <v>0.17533043478260868</v>
      </c>
      <c r="K70" s="320" t="str">
        <f t="shared" si="13"/>
        <v>Nei</v>
      </c>
      <c r="L70" s="320" t="str">
        <f t="shared" si="14"/>
        <v>Já</v>
      </c>
      <c r="M70" s="320" t="str">
        <f t="shared" si="15"/>
        <v>Undir grænmetismarkmiði</v>
      </c>
    </row>
    <row r="71" spans="1:13">
      <c r="A71" s="316" t="s">
        <v>1791</v>
      </c>
      <c r="B71" s="317">
        <f>SUMIF(Hraefnaskra[Réttur],$A71,Hraefnaskra[Magn (g)])/1000</f>
        <v>100.5</v>
      </c>
      <c r="C71" s="317">
        <f>(SUMIFS(Hraefnaskra[Magn (g)],Hraefnaskra[Réttur],$A71,Hraefnaskra[Vöruflokkur],"Grænmeti*")+SUMIFS(Hraefnaskra[Magn (g)],Hraefnaskra[Réttur],$A71,Hraefnaskra[Vöruflokkur],"Ávextir*")+SUMIFS(Hraefnaskra[Magn (g)],Hraefnaskra[Réttur],$A71,Hraefnaskra[Vöruflokkur],"Frosnar blöndur*"))/1000</f>
        <v>15.5</v>
      </c>
      <c r="D71" s="318">
        <f t="shared" si="8"/>
        <v>0.15422885572139303</v>
      </c>
      <c r="E71" s="317">
        <f>(SUMIFS(Hraefnaskra[Magn (g)],Hraefnaskra[Réttur],$A71,Hraefnaskra[Vöruflokkur],"Kjöt*")+SUMIFS(Hraefnaskra[Magn (g)],Hraefnaskra[Réttur],$A71,Hraefnaskra[Vöruflokkur],"Fiskur*")+SUMIFS(Hraefnaskra[Magn (g)],Hraefnaskra[Réttur],$A71,Hraefnaskra[Vöruflokkur],"Plöntubasað*"))/1000</f>
        <v>0</v>
      </c>
      <c r="F71" s="318">
        <f t="shared" si="9"/>
        <v>0</v>
      </c>
      <c r="G71" s="319">
        <f>SUMIF(Hraefnaskra[Réttur],$A71,Hraefnaskra[Kostnaður (kr)])</f>
        <v>50560.5</v>
      </c>
      <c r="H71" s="319">
        <f t="shared" si="10"/>
        <v>503.08955223880599</v>
      </c>
      <c r="I71" s="319">
        <f t="shared" si="11"/>
        <v>150.92686567164179</v>
      </c>
      <c r="J71" s="318">
        <f t="shared" si="12"/>
        <v>0.13124075275794939</v>
      </c>
      <c r="K71" s="320" t="str">
        <f t="shared" si="13"/>
        <v>Nei</v>
      </c>
      <c r="L71" s="320" t="str">
        <f t="shared" si="14"/>
        <v>Já</v>
      </c>
      <c r="M71" s="320" t="str">
        <f t="shared" si="15"/>
        <v>Undir grænmetismarkmiði</v>
      </c>
    </row>
    <row r="72" spans="1:13">
      <c r="A72" s="316" t="s">
        <v>1796</v>
      </c>
      <c r="B72" s="317">
        <f>SUMIF(Hraefnaskra[Réttur],$A72,Hraefnaskra[Magn (g)])/1000</f>
        <v>79.98</v>
      </c>
      <c r="C72" s="317">
        <f>(SUMIFS(Hraefnaskra[Magn (g)],Hraefnaskra[Réttur],$A72,Hraefnaskra[Vöruflokkur],"Grænmeti*")+SUMIFS(Hraefnaskra[Magn (g)],Hraefnaskra[Réttur],$A72,Hraefnaskra[Vöruflokkur],"Ávextir*")+SUMIFS(Hraefnaskra[Magn (g)],Hraefnaskra[Réttur],$A72,Hraefnaskra[Vöruflokkur],"Frosnar blöndur*"))/1000</f>
        <v>0</v>
      </c>
      <c r="D72" s="318">
        <f t="shared" si="8"/>
        <v>0</v>
      </c>
      <c r="E72" s="317">
        <f>(SUMIFS(Hraefnaskra[Magn (g)],Hraefnaskra[Réttur],$A72,Hraefnaskra[Vöruflokkur],"Kjöt*")+SUMIFS(Hraefnaskra[Magn (g)],Hraefnaskra[Réttur],$A72,Hraefnaskra[Vöruflokkur],"Fiskur*")+SUMIFS(Hraefnaskra[Magn (g)],Hraefnaskra[Réttur],$A72,Hraefnaskra[Vöruflokkur],"Plöntubasað*"))/1000</f>
        <v>0</v>
      </c>
      <c r="F72" s="318">
        <f t="shared" si="9"/>
        <v>0</v>
      </c>
      <c r="G72" s="319">
        <f>SUMIF(Hraefnaskra[Réttur],$A72,Hraefnaskra[Kostnaður (kr)])</f>
        <v>8201.6</v>
      </c>
      <c r="H72" s="319">
        <f t="shared" si="10"/>
        <v>102.54563640910227</v>
      </c>
      <c r="I72" s="319">
        <f t="shared" si="11"/>
        <v>30.763690922730682</v>
      </c>
      <c r="J72" s="318">
        <f t="shared" si="12"/>
        <v>2.67510355849832E-2</v>
      </c>
      <c r="K72" s="320" t="str">
        <f t="shared" si="13"/>
        <v>Nei</v>
      </c>
      <c r="L72" s="320" t="str">
        <f t="shared" si="14"/>
        <v>Já</v>
      </c>
      <c r="M72" s="320" t="str">
        <f t="shared" si="15"/>
        <v>Undir grænmetismarkmiði</v>
      </c>
    </row>
    <row r="73" spans="1:13">
      <c r="A73" s="316" t="s">
        <v>1801</v>
      </c>
      <c r="B73" s="317">
        <f>SUMIF(Hraefnaskra[Réttur],$A73,Hraefnaskra[Magn (g)])/1000</f>
        <v>46.575000000000003</v>
      </c>
      <c r="C73" s="317">
        <f>(SUMIFS(Hraefnaskra[Magn (g)],Hraefnaskra[Réttur],$A73,Hraefnaskra[Vöruflokkur],"Grænmeti*")+SUMIFS(Hraefnaskra[Magn (g)],Hraefnaskra[Réttur],$A73,Hraefnaskra[Vöruflokkur],"Ávextir*")+SUMIFS(Hraefnaskra[Magn (g)],Hraefnaskra[Réttur],$A73,Hraefnaskra[Vöruflokkur],"Frosnar blöndur*"))/1000</f>
        <v>8.75</v>
      </c>
      <c r="D73" s="318">
        <f t="shared" si="8"/>
        <v>0.1878690284487386</v>
      </c>
      <c r="E73" s="317">
        <f>(SUMIFS(Hraefnaskra[Magn (g)],Hraefnaskra[Réttur],$A73,Hraefnaskra[Vöruflokkur],"Kjöt*")+SUMIFS(Hraefnaskra[Magn (g)],Hraefnaskra[Réttur],$A73,Hraefnaskra[Vöruflokkur],"Fiskur*")+SUMIFS(Hraefnaskra[Magn (g)],Hraefnaskra[Réttur],$A73,Hraefnaskra[Vöruflokkur],"Plöntubasað*"))/1000</f>
        <v>0</v>
      </c>
      <c r="F73" s="318">
        <f t="shared" si="9"/>
        <v>0</v>
      </c>
      <c r="G73" s="319">
        <f>SUMIF(Hraefnaskra[Réttur],$A73,Hraefnaskra[Kostnaður (kr)])</f>
        <v>35722.925000000003</v>
      </c>
      <c r="H73" s="319">
        <f t="shared" si="10"/>
        <v>766.99785292538922</v>
      </c>
      <c r="I73" s="319">
        <f t="shared" si="11"/>
        <v>230.09935587761677</v>
      </c>
      <c r="J73" s="318">
        <f t="shared" si="12"/>
        <v>0.20008639641531895</v>
      </c>
      <c r="K73" s="320" t="str">
        <f t="shared" si="13"/>
        <v>Nei</v>
      </c>
      <c r="L73" s="320" t="str">
        <f t="shared" si="14"/>
        <v>Já</v>
      </c>
      <c r="M73" s="320" t="str">
        <f t="shared" si="15"/>
        <v>Undir grænmetismarkmiði</v>
      </c>
    </row>
    <row r="74" spans="1:13">
      <c r="A74" s="316" t="s">
        <v>1807</v>
      </c>
      <c r="B74" s="317">
        <f>SUMIF(Hraefnaskra[Réttur],$A74,Hraefnaskra[Magn (g)])/1000</f>
        <v>45</v>
      </c>
      <c r="C74" s="317">
        <f>(SUMIFS(Hraefnaskra[Magn (g)],Hraefnaskra[Réttur],$A74,Hraefnaskra[Vöruflokkur],"Grænmeti*")+SUMIFS(Hraefnaskra[Magn (g)],Hraefnaskra[Réttur],$A74,Hraefnaskra[Vöruflokkur],"Ávextir*")+SUMIFS(Hraefnaskra[Magn (g)],Hraefnaskra[Réttur],$A74,Hraefnaskra[Vöruflokkur],"Frosnar blöndur*"))/1000</f>
        <v>8.75</v>
      </c>
      <c r="D74" s="318">
        <f t="shared" si="8"/>
        <v>0.19444444444444445</v>
      </c>
      <c r="E74" s="317">
        <f>(SUMIFS(Hraefnaskra[Magn (g)],Hraefnaskra[Réttur],$A74,Hraefnaskra[Vöruflokkur],"Kjöt*")+SUMIFS(Hraefnaskra[Magn (g)],Hraefnaskra[Réttur],$A74,Hraefnaskra[Vöruflokkur],"Fiskur*")+SUMIFS(Hraefnaskra[Magn (g)],Hraefnaskra[Réttur],$A74,Hraefnaskra[Vöruflokkur],"Plöntubasað*"))/1000</f>
        <v>20</v>
      </c>
      <c r="F74" s="318">
        <f t="shared" si="9"/>
        <v>0.44444444444444442</v>
      </c>
      <c r="G74" s="319">
        <f>SUMIF(Hraefnaskra[Réttur],$A74,Hraefnaskra[Kostnaður (kr)])</f>
        <v>42252.925000000003</v>
      </c>
      <c r="H74" s="319">
        <f t="shared" si="10"/>
        <v>938.95388888888897</v>
      </c>
      <c r="I74" s="319">
        <f t="shared" si="11"/>
        <v>281.68616666666668</v>
      </c>
      <c r="J74" s="318">
        <f t="shared" si="12"/>
        <v>0.24494449275362321</v>
      </c>
      <c r="K74" s="320" t="str">
        <f t="shared" si="13"/>
        <v>Nei</v>
      </c>
      <c r="L74" s="320" t="str">
        <f t="shared" si="14"/>
        <v>Já</v>
      </c>
      <c r="M74" s="320" t="str">
        <f t="shared" si="15"/>
        <v>Undir grænmetismarkmiði</v>
      </c>
    </row>
    <row r="75" spans="1:13">
      <c r="A75" s="316" t="s">
        <v>1813</v>
      </c>
      <c r="B75" s="317">
        <f>SUMIF(Hraefnaskra[Réttur],$A75,Hraefnaskra[Magn (g)])/1000</f>
        <v>60</v>
      </c>
      <c r="C75" s="317">
        <f>(SUMIFS(Hraefnaskra[Magn (g)],Hraefnaskra[Réttur],$A75,Hraefnaskra[Vöruflokkur],"Grænmeti*")+SUMIFS(Hraefnaskra[Magn (g)],Hraefnaskra[Réttur],$A75,Hraefnaskra[Vöruflokkur],"Ávextir*")+SUMIFS(Hraefnaskra[Magn (g)],Hraefnaskra[Réttur],$A75,Hraefnaskra[Vöruflokkur],"Frosnar blöndur*"))/1000</f>
        <v>15.5</v>
      </c>
      <c r="D75" s="318">
        <f t="shared" ref="D75:D106" si="16">IFERROR(C75/B75,"")</f>
        <v>0.25833333333333336</v>
      </c>
      <c r="E75" s="317">
        <f>(SUMIFS(Hraefnaskra[Magn (g)],Hraefnaskra[Réttur],$A75,Hraefnaskra[Vöruflokkur],"Kjöt*")+SUMIFS(Hraefnaskra[Magn (g)],Hraefnaskra[Réttur],$A75,Hraefnaskra[Vöruflokkur],"Fiskur*")+SUMIFS(Hraefnaskra[Magn (g)],Hraefnaskra[Réttur],$A75,Hraefnaskra[Vöruflokkur],"Plöntubasað*"))/1000</f>
        <v>0</v>
      </c>
      <c r="F75" s="318">
        <f t="shared" ref="F75:F106" si="17">IFERROR(E75/B75,"")</f>
        <v>0</v>
      </c>
      <c r="G75" s="319">
        <f>SUMIF(Hraefnaskra[Réttur],$A75,Hraefnaskra[Kostnaður (kr)])</f>
        <v>64842</v>
      </c>
      <c r="H75" s="319">
        <f t="shared" ref="H75:H106" si="18">IFERROR(G75/B75,"")</f>
        <v>1080.7</v>
      </c>
      <c r="I75" s="319">
        <f t="shared" ref="I75:I106" si="19">IFERROR(H75*$B$7,"")</f>
        <v>324.20999999999998</v>
      </c>
      <c r="J75" s="318">
        <f t="shared" ref="J75:J106" si="20">IFERROR(I75/$B$4,"")</f>
        <v>0.28192173913043478</v>
      </c>
      <c r="K75" s="320" t="str">
        <f t="shared" si="13"/>
        <v>Nei</v>
      </c>
      <c r="L75" s="320" t="str">
        <f t="shared" si="14"/>
        <v>Já</v>
      </c>
      <c r="M75" s="320" t="str">
        <f t="shared" ref="M75:M106" si="21">IF(K75="","",IF(AND(K75="Já",L75="Já"),"Í lagi",IF(L75="Nei","Bæta við grænmeti – lækka próteinkostnað","Undir grænmetismarkmiði")))</f>
        <v>Undir grænmetismarkmiði</v>
      </c>
    </row>
    <row r="76" spans="1:13">
      <c r="A76" s="321" t="s">
        <v>982</v>
      </c>
      <c r="B76" s="322">
        <f>SUMIF(Hraefnaskra[Réttur],$A76,Hraefnaskra[Magn (g)])/1000</f>
        <v>99</v>
      </c>
      <c r="C76" s="322">
        <f>(SUMIFS(Hraefnaskra[Magn (g)],Hraefnaskra[Réttur],$A76,Hraefnaskra[Vöruflokkur],"Grænmeti*")+SUMIFS(Hraefnaskra[Magn (g)],Hraefnaskra[Réttur],$A76,Hraefnaskra[Vöruflokkur],"Ávextir*")+SUMIFS(Hraefnaskra[Magn (g)],Hraefnaskra[Réttur],$A76,Hraefnaskra[Vöruflokkur],"Frosnar blöndur*"))/1000</f>
        <v>8.1999999999999993</v>
      </c>
      <c r="D76" s="323">
        <f t="shared" si="16"/>
        <v>8.282828282828282E-2</v>
      </c>
      <c r="E76" s="322">
        <f>(SUMIFS(Hraefnaskra[Magn (g)],Hraefnaskra[Réttur],$A76,Hraefnaskra[Vöruflokkur],"Kjöt*")+SUMIFS(Hraefnaskra[Magn (g)],Hraefnaskra[Réttur],$A76,Hraefnaskra[Vöruflokkur],"Fiskur*")+SUMIFS(Hraefnaskra[Magn (g)],Hraefnaskra[Réttur],$A76,Hraefnaskra[Vöruflokkur],"Plöntubasað*"))/1000</f>
        <v>0</v>
      </c>
      <c r="F76" s="323">
        <f t="shared" si="17"/>
        <v>0</v>
      </c>
      <c r="G76" s="324">
        <f>SUMIF(Hraefnaskra[Réttur],$A76,Hraefnaskra[Kostnaður (kr)])</f>
        <v>65199.999999999993</v>
      </c>
      <c r="H76" s="324">
        <f t="shared" si="18"/>
        <v>658.58585858585855</v>
      </c>
      <c r="I76" s="324">
        <f t="shared" si="19"/>
        <v>197.57575757575756</v>
      </c>
      <c r="J76" s="323">
        <f t="shared" si="20"/>
        <v>0.17180500658761527</v>
      </c>
      <c r="K76" s="325" t="str">
        <f t="shared" si="13"/>
        <v>Nei</v>
      </c>
      <c r="L76" s="325" t="str">
        <f t="shared" si="14"/>
        <v>Já</v>
      </c>
      <c r="M76" s="325" t="str">
        <f t="shared" si="21"/>
        <v>Undir grænmetismarkmiði</v>
      </c>
    </row>
    <row r="77" spans="1:13">
      <c r="A77" s="327" t="s">
        <v>104</v>
      </c>
      <c r="B77" s="322">
        <f>SUMIF(Hraefnaskra[Réttur],$A77,Hraefnaskra[Magn (g)])/1000</f>
        <v>79.98</v>
      </c>
      <c r="C77" s="322">
        <f>(SUMIFS(Hraefnaskra[Magn (g)],Hraefnaskra[Réttur],$A77,Hraefnaskra[Vöruflokkur],"Grænmeti*")+SUMIFS(Hraefnaskra[Magn (g)],Hraefnaskra[Réttur],$A77,Hraefnaskra[Vöruflokkur],"Ávextir*")+SUMIFS(Hraefnaskra[Magn (g)],Hraefnaskra[Réttur],$A77,Hraefnaskra[Vöruflokkur],"Frosnar blöndur*"))/1000</f>
        <v>0</v>
      </c>
      <c r="D77" s="323">
        <f t="shared" si="16"/>
        <v>0</v>
      </c>
      <c r="E77" s="322">
        <f>(SUMIFS(Hraefnaskra[Magn (g)],Hraefnaskra[Réttur],$A77,Hraefnaskra[Vöruflokkur],"Kjöt*")+SUMIFS(Hraefnaskra[Magn (g)],Hraefnaskra[Réttur],$A77,Hraefnaskra[Vöruflokkur],"Fiskur*")+SUMIFS(Hraefnaskra[Magn (g)],Hraefnaskra[Réttur],$A77,Hraefnaskra[Vöruflokkur],"Plöntubasað*"))/1000</f>
        <v>0</v>
      </c>
      <c r="F77" s="323">
        <f t="shared" si="17"/>
        <v>0</v>
      </c>
      <c r="G77" s="324">
        <f>SUMIF(Hraefnaskra[Réttur],$A77,Hraefnaskra[Kostnaður (kr)])</f>
        <v>14301.6</v>
      </c>
      <c r="H77" s="324">
        <f t="shared" si="18"/>
        <v>178.81470367591896</v>
      </c>
      <c r="I77" s="324">
        <f t="shared" si="19"/>
        <v>53.644411102775685</v>
      </c>
      <c r="J77" s="323">
        <f t="shared" si="20"/>
        <v>4.6647314002413641E-2</v>
      </c>
      <c r="K77" s="325" t="str">
        <f t="shared" si="13"/>
        <v>Nei</v>
      </c>
      <c r="L77" s="325" t="str">
        <f t="shared" si="14"/>
        <v>Já</v>
      </c>
      <c r="M77" s="32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2026-08-10T07:45:11Z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